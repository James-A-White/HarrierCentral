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hite/Projects/flutter_old/HC/HarrierCentral/HarrierCentralMobile-Flutter/_devHelpers/"/>
    </mc:Choice>
  </mc:AlternateContent>
  <xr:revisionPtr revIDLastSave="0" documentId="13_ncr:1_{2ADCD86C-50D3-2C4D-B532-8466A8CEC081}" xr6:coauthVersionLast="45" xr6:coauthVersionMax="45" xr10:uidLastSave="{00000000-0000-0000-0000-000000000000}"/>
  <bookViews>
    <workbookView xWindow="3220" yWindow="600" windowWidth="27320" windowHeight="20480" xr2:uid="{50A37692-8663-7F4C-91F6-2AE3BA380A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2" i="1" l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C7" i="1"/>
  <c r="D7" i="1" s="1"/>
  <c r="C8" i="1"/>
  <c r="E8" i="1" s="1"/>
  <c r="F8" i="1"/>
  <c r="G8" i="1" s="1"/>
  <c r="H8" i="1" s="1"/>
  <c r="C9" i="1"/>
  <c r="D9" i="1" s="1"/>
  <c r="F9" i="1"/>
  <c r="G9" i="1"/>
  <c r="H9" i="1" s="1"/>
  <c r="C10" i="1"/>
  <c r="E10" i="1" s="1"/>
  <c r="D10" i="1"/>
  <c r="C11" i="1"/>
  <c r="D11" i="1" s="1"/>
  <c r="C12" i="1"/>
  <c r="F12" i="1" s="1"/>
  <c r="G12" i="1" s="1"/>
  <c r="H12" i="1" s="1"/>
  <c r="D12" i="1"/>
  <c r="E12" i="1"/>
  <c r="C13" i="1"/>
  <c r="D13" i="1" s="1"/>
  <c r="F13" i="1"/>
  <c r="G13" i="1"/>
  <c r="H13" i="1" s="1"/>
  <c r="C14" i="1"/>
  <c r="E14" i="1" s="1"/>
  <c r="D14" i="1"/>
  <c r="C15" i="1"/>
  <c r="D15" i="1" s="1"/>
  <c r="C16" i="1"/>
  <c r="F16" i="1" s="1"/>
  <c r="G16" i="1" s="1"/>
  <c r="H16" i="1" s="1"/>
  <c r="D16" i="1"/>
  <c r="E16" i="1"/>
  <c r="C17" i="1"/>
  <c r="D17" i="1" s="1"/>
  <c r="E17" i="1"/>
  <c r="F17" i="1"/>
  <c r="G17" i="1"/>
  <c r="H17" i="1" s="1"/>
  <c r="C18" i="1"/>
  <c r="E18" i="1" s="1"/>
  <c r="D18" i="1"/>
  <c r="C19" i="1"/>
  <c r="D19" i="1" s="1"/>
  <c r="C20" i="1"/>
  <c r="F20" i="1" s="1"/>
  <c r="G20" i="1" s="1"/>
  <c r="H20" i="1" s="1"/>
  <c r="D20" i="1"/>
  <c r="E20" i="1"/>
  <c r="C21" i="1"/>
  <c r="D21" i="1" s="1"/>
  <c r="E21" i="1"/>
  <c r="F21" i="1"/>
  <c r="G21" i="1"/>
  <c r="H21" i="1" s="1"/>
  <c r="C22" i="1"/>
  <c r="F22" i="1" s="1"/>
  <c r="G22" i="1" s="1"/>
  <c r="H22" i="1" s="1"/>
  <c r="D22" i="1"/>
  <c r="E22" i="1"/>
  <c r="C23" i="1"/>
  <c r="D23" i="1" s="1"/>
  <c r="C24" i="1"/>
  <c r="F24" i="1" s="1"/>
  <c r="G24" i="1" s="1"/>
  <c r="H24" i="1" s="1"/>
  <c r="E24" i="1"/>
  <c r="C25" i="1"/>
  <c r="D25" i="1" s="1"/>
  <c r="C26" i="1"/>
  <c r="F26" i="1" s="1"/>
  <c r="G26" i="1" s="1"/>
  <c r="H26" i="1" s="1"/>
  <c r="D26" i="1"/>
  <c r="E26" i="1"/>
  <c r="C27" i="1"/>
  <c r="D27" i="1" s="1"/>
  <c r="C28" i="1"/>
  <c r="F28" i="1" s="1"/>
  <c r="G28" i="1" s="1"/>
  <c r="H28" i="1" s="1"/>
  <c r="E28" i="1"/>
  <c r="C29" i="1"/>
  <c r="D29" i="1" s="1"/>
  <c r="C30" i="1"/>
  <c r="F30" i="1" s="1"/>
  <c r="G30" i="1" s="1"/>
  <c r="H30" i="1" s="1"/>
  <c r="D30" i="1"/>
  <c r="E30" i="1"/>
  <c r="C31" i="1"/>
  <c r="D31" i="1" s="1"/>
  <c r="C32" i="1"/>
  <c r="F32" i="1" s="1"/>
  <c r="G32" i="1" s="1"/>
  <c r="H32" i="1" s="1"/>
  <c r="E32" i="1"/>
  <c r="C33" i="1"/>
  <c r="D33" i="1" s="1"/>
  <c r="C34" i="1"/>
  <c r="F34" i="1" s="1"/>
  <c r="G34" i="1" s="1"/>
  <c r="H34" i="1" s="1"/>
  <c r="D34" i="1"/>
  <c r="E34" i="1"/>
  <c r="C35" i="1"/>
  <c r="D35" i="1" s="1"/>
  <c r="C36" i="1"/>
  <c r="F36" i="1" s="1"/>
  <c r="G36" i="1" s="1"/>
  <c r="H36" i="1" s="1"/>
  <c r="E36" i="1"/>
  <c r="C37" i="1"/>
  <c r="D37" i="1" s="1"/>
  <c r="C38" i="1"/>
  <c r="F38" i="1" s="1"/>
  <c r="G38" i="1" s="1"/>
  <c r="H38" i="1" s="1"/>
  <c r="E38" i="1"/>
  <c r="C39" i="1"/>
  <c r="D39" i="1" s="1"/>
  <c r="C40" i="1"/>
  <c r="F40" i="1" s="1"/>
  <c r="G40" i="1" s="1"/>
  <c r="H40" i="1" s="1"/>
  <c r="E40" i="1"/>
  <c r="C41" i="1"/>
  <c r="D41" i="1" s="1"/>
  <c r="C42" i="1"/>
  <c r="F42" i="1" s="1"/>
  <c r="G42" i="1" s="1"/>
  <c r="H42" i="1" s="1"/>
  <c r="D42" i="1"/>
  <c r="E42" i="1"/>
  <c r="C43" i="1"/>
  <c r="D43" i="1" s="1"/>
  <c r="C44" i="1"/>
  <c r="F44" i="1" s="1"/>
  <c r="G44" i="1" s="1"/>
  <c r="H44" i="1" s="1"/>
  <c r="E44" i="1"/>
  <c r="C45" i="1"/>
  <c r="D45" i="1" s="1"/>
  <c r="C46" i="1"/>
  <c r="F46" i="1" s="1"/>
  <c r="G46" i="1" s="1"/>
  <c r="H46" i="1" s="1"/>
  <c r="D46" i="1"/>
  <c r="E46" i="1"/>
  <c r="C47" i="1"/>
  <c r="D47" i="1" s="1"/>
  <c r="C48" i="1"/>
  <c r="F48" i="1" s="1"/>
  <c r="G48" i="1" s="1"/>
  <c r="H48" i="1" s="1"/>
  <c r="E48" i="1"/>
  <c r="C49" i="1"/>
  <c r="D49" i="1" s="1"/>
  <c r="C50" i="1"/>
  <c r="F50" i="1" s="1"/>
  <c r="G50" i="1" s="1"/>
  <c r="H50" i="1" s="1"/>
  <c r="D50" i="1"/>
  <c r="E50" i="1"/>
  <c r="C51" i="1"/>
  <c r="D51" i="1" s="1"/>
  <c r="C52" i="1"/>
  <c r="F52" i="1" s="1"/>
  <c r="G52" i="1" s="1"/>
  <c r="H52" i="1" s="1"/>
  <c r="E52" i="1"/>
  <c r="C53" i="1"/>
  <c r="D53" i="1" s="1"/>
  <c r="C54" i="1"/>
  <c r="D54" i="1" s="1"/>
  <c r="E54" i="1"/>
  <c r="C55" i="1"/>
  <c r="D55" i="1" s="1"/>
  <c r="C56" i="1"/>
  <c r="F56" i="1" s="1"/>
  <c r="G56" i="1" s="1"/>
  <c r="H56" i="1" s="1"/>
  <c r="E56" i="1"/>
  <c r="C57" i="1"/>
  <c r="D57" i="1" s="1"/>
  <c r="C58" i="1"/>
  <c r="D58" i="1" s="1"/>
  <c r="E58" i="1"/>
  <c r="C59" i="1"/>
  <c r="D59" i="1" s="1"/>
  <c r="C60" i="1"/>
  <c r="F60" i="1" s="1"/>
  <c r="G60" i="1" s="1"/>
  <c r="H60" i="1" s="1"/>
  <c r="E60" i="1"/>
  <c r="C61" i="1"/>
  <c r="D61" i="1" s="1"/>
  <c r="C62" i="1"/>
  <c r="D62" i="1" s="1"/>
  <c r="E62" i="1"/>
  <c r="C63" i="1"/>
  <c r="D63" i="1" s="1"/>
  <c r="C64" i="1"/>
  <c r="F64" i="1" s="1"/>
  <c r="G64" i="1" s="1"/>
  <c r="H64" i="1" s="1"/>
  <c r="E64" i="1"/>
  <c r="C65" i="1"/>
  <c r="D65" i="1" s="1"/>
  <c r="C66" i="1"/>
  <c r="D66" i="1" s="1"/>
  <c r="E66" i="1"/>
  <c r="C67" i="1"/>
  <c r="D67" i="1" s="1"/>
  <c r="C68" i="1"/>
  <c r="F68" i="1" s="1"/>
  <c r="G68" i="1" s="1"/>
  <c r="H68" i="1" s="1"/>
  <c r="E68" i="1"/>
  <c r="C69" i="1"/>
  <c r="D69" i="1" s="1"/>
  <c r="C70" i="1"/>
  <c r="D70" i="1" s="1"/>
  <c r="E70" i="1"/>
  <c r="C71" i="1"/>
  <c r="D71" i="1" s="1"/>
  <c r="C72" i="1"/>
  <c r="F72" i="1" s="1"/>
  <c r="G72" i="1" s="1"/>
  <c r="H72" i="1" s="1"/>
  <c r="E72" i="1"/>
  <c r="C73" i="1"/>
  <c r="D73" i="1" s="1"/>
  <c r="C74" i="1"/>
  <c r="D74" i="1" s="1"/>
  <c r="E74" i="1"/>
  <c r="C75" i="1"/>
  <c r="D75" i="1" s="1"/>
  <c r="C76" i="1"/>
  <c r="F76" i="1" s="1"/>
  <c r="G76" i="1" s="1"/>
  <c r="H76" i="1" s="1"/>
  <c r="E76" i="1"/>
  <c r="C77" i="1"/>
  <c r="D77" i="1" s="1"/>
  <c r="C78" i="1"/>
  <c r="D78" i="1" s="1"/>
  <c r="E78" i="1"/>
  <c r="C79" i="1"/>
  <c r="D79" i="1" s="1"/>
  <c r="C80" i="1"/>
  <c r="F80" i="1" s="1"/>
  <c r="G80" i="1" s="1"/>
  <c r="H80" i="1" s="1"/>
  <c r="E80" i="1"/>
  <c r="C81" i="1"/>
  <c r="D81" i="1" s="1"/>
  <c r="C82" i="1"/>
  <c r="D82" i="1" s="1"/>
  <c r="E82" i="1"/>
  <c r="C83" i="1"/>
  <c r="D83" i="1" s="1"/>
  <c r="C84" i="1"/>
  <c r="F84" i="1" s="1"/>
  <c r="G84" i="1" s="1"/>
  <c r="H84" i="1" s="1"/>
  <c r="E84" i="1"/>
  <c r="D38" i="1" l="1"/>
  <c r="J38" i="1"/>
  <c r="I38" i="1"/>
  <c r="D84" i="1"/>
  <c r="F81" i="1"/>
  <c r="G81" i="1" s="1"/>
  <c r="H81" i="1" s="1"/>
  <c r="D80" i="1"/>
  <c r="F77" i="1"/>
  <c r="G77" i="1" s="1"/>
  <c r="H77" i="1" s="1"/>
  <c r="D76" i="1"/>
  <c r="F73" i="1"/>
  <c r="G73" i="1" s="1"/>
  <c r="H73" i="1" s="1"/>
  <c r="D72" i="1"/>
  <c r="F69" i="1"/>
  <c r="G69" i="1" s="1"/>
  <c r="H69" i="1" s="1"/>
  <c r="D68" i="1"/>
  <c r="F65" i="1"/>
  <c r="G65" i="1" s="1"/>
  <c r="H65" i="1" s="1"/>
  <c r="D64" i="1"/>
  <c r="F61" i="1"/>
  <c r="G61" i="1" s="1"/>
  <c r="H61" i="1" s="1"/>
  <c r="D60" i="1"/>
  <c r="F57" i="1"/>
  <c r="G57" i="1" s="1"/>
  <c r="H57" i="1" s="1"/>
  <c r="D56" i="1"/>
  <c r="F53" i="1"/>
  <c r="G53" i="1" s="1"/>
  <c r="H53" i="1" s="1"/>
  <c r="D52" i="1"/>
  <c r="F49" i="1"/>
  <c r="G49" i="1" s="1"/>
  <c r="H49" i="1" s="1"/>
  <c r="D48" i="1"/>
  <c r="F45" i="1"/>
  <c r="G45" i="1" s="1"/>
  <c r="H45" i="1" s="1"/>
  <c r="D44" i="1"/>
  <c r="F41" i="1"/>
  <c r="G41" i="1" s="1"/>
  <c r="H41" i="1" s="1"/>
  <c r="D40" i="1"/>
  <c r="F37" i="1"/>
  <c r="G37" i="1" s="1"/>
  <c r="H37" i="1" s="1"/>
  <c r="D36" i="1"/>
  <c r="F33" i="1"/>
  <c r="G33" i="1" s="1"/>
  <c r="H33" i="1" s="1"/>
  <c r="D32" i="1"/>
  <c r="F29" i="1"/>
  <c r="G29" i="1" s="1"/>
  <c r="H29" i="1" s="1"/>
  <c r="D28" i="1"/>
  <c r="F25" i="1"/>
  <c r="G25" i="1" s="1"/>
  <c r="H25" i="1" s="1"/>
  <c r="D24" i="1"/>
  <c r="D8" i="1"/>
  <c r="E81" i="1"/>
  <c r="E73" i="1"/>
  <c r="E65" i="1"/>
  <c r="E57" i="1"/>
  <c r="E49" i="1"/>
  <c r="E41" i="1"/>
  <c r="E33" i="1"/>
  <c r="E25" i="1"/>
  <c r="E9" i="1"/>
  <c r="E77" i="1"/>
  <c r="E69" i="1"/>
  <c r="E61" i="1"/>
  <c r="E53" i="1"/>
  <c r="E45" i="1"/>
  <c r="E37" i="1"/>
  <c r="E29" i="1"/>
  <c r="E13" i="1"/>
  <c r="F82" i="1"/>
  <c r="G82" i="1" s="1"/>
  <c r="H82" i="1" s="1"/>
  <c r="F78" i="1"/>
  <c r="G78" i="1" s="1"/>
  <c r="H78" i="1" s="1"/>
  <c r="F74" i="1"/>
  <c r="G74" i="1" s="1"/>
  <c r="H74" i="1" s="1"/>
  <c r="F70" i="1"/>
  <c r="G70" i="1" s="1"/>
  <c r="H70" i="1" s="1"/>
  <c r="F66" i="1"/>
  <c r="G66" i="1" s="1"/>
  <c r="H66" i="1" s="1"/>
  <c r="F62" i="1"/>
  <c r="G62" i="1" s="1"/>
  <c r="H62" i="1" s="1"/>
  <c r="F58" i="1"/>
  <c r="G58" i="1" s="1"/>
  <c r="H58" i="1" s="1"/>
  <c r="F54" i="1"/>
  <c r="G54" i="1" s="1"/>
  <c r="H54" i="1" s="1"/>
  <c r="F18" i="1"/>
  <c r="G18" i="1" s="1"/>
  <c r="H18" i="1" s="1"/>
  <c r="F14" i="1"/>
  <c r="G14" i="1" s="1"/>
  <c r="H14" i="1" s="1"/>
  <c r="F10" i="1"/>
  <c r="G10" i="1" s="1"/>
  <c r="H10" i="1" s="1"/>
  <c r="F83" i="1"/>
  <c r="G83" i="1" s="1"/>
  <c r="H83" i="1" s="1"/>
  <c r="F79" i="1"/>
  <c r="G79" i="1" s="1"/>
  <c r="H79" i="1" s="1"/>
  <c r="F75" i="1"/>
  <c r="G75" i="1" s="1"/>
  <c r="H75" i="1" s="1"/>
  <c r="F71" i="1"/>
  <c r="G71" i="1" s="1"/>
  <c r="H71" i="1" s="1"/>
  <c r="F67" i="1"/>
  <c r="G67" i="1" s="1"/>
  <c r="H67" i="1" s="1"/>
  <c r="F63" i="1"/>
  <c r="G63" i="1" s="1"/>
  <c r="H63" i="1" s="1"/>
  <c r="F59" i="1"/>
  <c r="G59" i="1" s="1"/>
  <c r="H59" i="1" s="1"/>
  <c r="F55" i="1"/>
  <c r="G55" i="1" s="1"/>
  <c r="H55" i="1" s="1"/>
  <c r="F51" i="1"/>
  <c r="G51" i="1" s="1"/>
  <c r="H51" i="1" s="1"/>
  <c r="F47" i="1"/>
  <c r="G47" i="1" s="1"/>
  <c r="H47" i="1" s="1"/>
  <c r="F43" i="1"/>
  <c r="G43" i="1" s="1"/>
  <c r="H43" i="1" s="1"/>
  <c r="F39" i="1"/>
  <c r="G39" i="1" s="1"/>
  <c r="H39" i="1" s="1"/>
  <c r="F35" i="1"/>
  <c r="G35" i="1" s="1"/>
  <c r="H35" i="1" s="1"/>
  <c r="F31" i="1"/>
  <c r="G31" i="1" s="1"/>
  <c r="H31" i="1" s="1"/>
  <c r="F27" i="1"/>
  <c r="G27" i="1" s="1"/>
  <c r="H27" i="1" s="1"/>
  <c r="F23" i="1"/>
  <c r="G23" i="1" s="1"/>
  <c r="H23" i="1" s="1"/>
  <c r="F19" i="1"/>
  <c r="G19" i="1" s="1"/>
  <c r="H19" i="1" s="1"/>
  <c r="F15" i="1"/>
  <c r="G15" i="1" s="1"/>
  <c r="H15" i="1" s="1"/>
  <c r="F11" i="1"/>
  <c r="G11" i="1" s="1"/>
  <c r="H11" i="1" s="1"/>
  <c r="F7" i="1"/>
  <c r="G7" i="1" s="1"/>
  <c r="H7" i="1" s="1"/>
  <c r="E83" i="1"/>
  <c r="E75" i="1"/>
  <c r="E67" i="1"/>
  <c r="E59" i="1"/>
  <c r="E51" i="1"/>
  <c r="E43" i="1"/>
  <c r="E35" i="1"/>
  <c r="E27" i="1"/>
  <c r="E19" i="1"/>
  <c r="E7" i="1"/>
  <c r="E79" i="1"/>
  <c r="E71" i="1"/>
  <c r="E63" i="1"/>
  <c r="E55" i="1"/>
  <c r="E47" i="1"/>
  <c r="E39" i="1"/>
  <c r="E31" i="1"/>
  <c r="E23" i="1"/>
  <c r="E15" i="1"/>
  <c r="E11" i="1"/>
  <c r="C6" i="1"/>
  <c r="C5" i="1"/>
  <c r="C4" i="1"/>
  <c r="C3" i="1"/>
  <c r="C2" i="1"/>
  <c r="D2" i="1" l="1"/>
  <c r="E2" i="1"/>
  <c r="D3" i="1"/>
  <c r="D4" i="1"/>
  <c r="D5" i="1"/>
  <c r="E6" i="1"/>
  <c r="E5" i="1" l="1"/>
  <c r="E4" i="1"/>
  <c r="E3" i="1"/>
  <c r="D6" i="1"/>
  <c r="F3" i="1"/>
  <c r="G3" i="1" s="1"/>
  <c r="F4" i="1"/>
  <c r="G4" i="1" s="1"/>
  <c r="F5" i="1"/>
  <c r="G5" i="1" s="1"/>
  <c r="F6" i="1"/>
  <c r="G6" i="1" s="1"/>
  <c r="F2" i="1"/>
  <c r="G2" i="1" s="1"/>
  <c r="H5" i="1" l="1"/>
  <c r="H3" i="1"/>
  <c r="H6" i="1"/>
  <c r="H4" i="1"/>
  <c r="I2" i="1"/>
  <c r="H2" i="1"/>
  <c r="J14" i="1"/>
  <c r="J6" i="1"/>
  <c r="J15" i="1"/>
  <c r="J21" i="1"/>
  <c r="J13" i="1"/>
  <c r="J5" i="1"/>
  <c r="J20" i="1"/>
  <c r="J12" i="1"/>
  <c r="J4" i="1"/>
  <c r="J19" i="1"/>
  <c r="J11" i="1"/>
  <c r="J7" i="1"/>
  <c r="J18" i="1"/>
  <c r="J10" i="1"/>
  <c r="J17" i="1"/>
  <c r="J9" i="1"/>
  <c r="J16" i="1"/>
  <c r="J8" i="1"/>
  <c r="J3" i="1"/>
  <c r="J2" i="1"/>
  <c r="I18" i="1"/>
  <c r="I17" i="1"/>
  <c r="I16" i="1"/>
  <c r="I7" i="1"/>
  <c r="I14" i="1"/>
  <c r="I6" i="1"/>
  <c r="I21" i="1"/>
  <c r="I13" i="1"/>
  <c r="I5" i="1"/>
  <c r="I20" i="1"/>
  <c r="I12" i="1"/>
  <c r="I4" i="1"/>
  <c r="I10" i="1"/>
  <c r="I9" i="1"/>
  <c r="I8" i="1"/>
  <c r="I15" i="1"/>
  <c r="I19" i="1"/>
  <c r="I11" i="1"/>
  <c r="I3" i="1"/>
</calcChain>
</file>

<file path=xl/sharedStrings.xml><?xml version="1.0" encoding="utf-8"?>
<sst xmlns="http://schemas.openxmlformats.org/spreadsheetml/2006/main" count="147" uniqueCount="56">
  <si>
    <t>wireName</t>
  </si>
  <si>
    <t>dataType</t>
  </si>
  <si>
    <t>TEXT NOT NULL</t>
  </si>
  <si>
    <t>TEXT</t>
  </si>
  <si>
    <t>INT</t>
  </si>
  <si>
    <t>NUM</t>
  </si>
  <si>
    <t>raw text input</t>
  </si>
  <si>
    <t>column name</t>
  </si>
  <si>
    <t>capitalized wire name</t>
  </si>
  <si>
    <t>column code</t>
  </si>
  <si>
    <t>String</t>
  </si>
  <si>
    <t>int</t>
  </si>
  <si>
    <t>num</t>
  </si>
  <si>
    <t>eventsTableHelper</t>
  </si>
  <si>
    <r>
      <t xml:space="preserve">[TenantId]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tenantId</t>
    </r>
  </si>
  <si>
    <r>
      <t>,</t>
    </r>
    <r>
      <rPr>
        <sz val="10"/>
        <color theme="1"/>
        <rFont val="Consolas"/>
        <family val="2"/>
      </rPr>
      <t xml:space="preserve">[FacilityId]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facilityId</t>
    </r>
  </si>
  <si>
    <r>
      <t>,</t>
    </r>
    <r>
      <rPr>
        <sz val="10"/>
        <color theme="1"/>
        <rFont val="Consolas"/>
        <family val="2"/>
      </rPr>
      <t xml:space="preserve">[FacilityCode]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facilityCode</t>
    </r>
  </si>
  <si>
    <r>
      <t>,</t>
    </r>
    <r>
      <rPr>
        <sz val="10"/>
        <color theme="1"/>
        <rFont val="Consolas"/>
        <family val="2"/>
      </rPr>
      <t xml:space="preserve">[FacilityName]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facilityName</t>
    </r>
  </si>
  <si>
    <r>
      <t>,</t>
    </r>
    <r>
      <rPr>
        <sz val="10"/>
        <color theme="1"/>
        <rFont val="Consolas"/>
        <family val="2"/>
      </rPr>
      <t xml:space="preserve">[isActive]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isActive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</si>
  <si>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[BuildingId]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buildingId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</si>
  <si>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[FacilityId]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facilityId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</si>
  <si>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[BuildingName]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buildingName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</si>
  <si>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[BuildingCode]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buildingCode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</si>
  <si>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[isNoZone]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isNoZone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</si>
  <si>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[isActive]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isActive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</si>
  <si>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[RoomId]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roomId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</si>
  <si>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[RoomName]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roomName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</si>
  <si>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[QrCode]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qrCode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</si>
  <si>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[Occupancy]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occupancy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</si>
  <si>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[RoomType]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roomType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</si>
  <si>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[SecurityLevel]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securityLevel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</si>
  <si>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[RiskFactor]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riskFactor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</si>
  <si>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[Lat]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lat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</si>
  <si>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[Lon]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lon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</si>
  <si>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[AutoCheckOutTime]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autoCheckOutTime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</si>
  <si>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[SafeToUse]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safeToUse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</si>
  <si>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[InfectedOn]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infectedOn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</si>
  <si>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[InfectionRiskLevel]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infectionRiskLevel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</si>
  <si>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[NeedsDisinfection]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needsDisinfection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</si>
  <si>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[DisinfectedBy]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disinfectedBy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</si>
  <si>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[DisinfectedOn]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disinfectedOn</t>
    </r>
  </si>
  <si>
    <r>
      <t xml:space="preserve"> [TenantId]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tenantId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</si>
  <si>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[PointName]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pointName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</si>
  <si>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[NfcSerial]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nfcSerial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</si>
  <si>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[PointType]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pointType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</si>
  <si>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[CheckInOutType]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checkInOutType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</si>
  <si>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[AutoCheckoutTime]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autoCheckoutTime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</si>
  <si>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[PointUserOwner]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pointUserOwner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</si>
  <si>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[ClientPointId]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clientPointId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</si>
  <si>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[MusterPointId]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musterPointId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</si>
  <si>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[MusterPointName]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musterPointName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</si>
  <si>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[MusterPointCode]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musterPointCode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</si>
  <si>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[MusterPointAlias]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musterPointAlias</t>
    </r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</si>
  <si>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[Floor]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floor</t>
    </r>
  </si>
  <si>
    <t xml:space="preserve"> </t>
  </si>
  <si>
    <r>
      <t xml:space="preserve">  </t>
    </r>
    <r>
      <rPr>
        <sz val="10"/>
        <color rgb="FF808080"/>
        <rFont val="Consolas"/>
        <family val="2"/>
      </rPr>
      <t>,</t>
    </r>
    <r>
      <rPr>
        <sz val="10"/>
        <color theme="1"/>
        <rFont val="Consolas"/>
        <family val="2"/>
      </rPr>
      <t xml:space="preserve">[PointId]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tapPointId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</si>
</sst>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0"/>
      <color theme="1"/>
      <name val="Consolas"/>
      <family val="2"/>
    </font>
    <font>
      <sz val="10"/>
      <color rgb="FF808080"/>
      <name val="Consolas"/>
      <family val="2"/>
    </font>
    <font>
      <b/>
      <sz val="12"/>
      <color rgb="FFC00000"/>
      <name val="Calibri"/>
      <family val="2"/>
      <scheme val="minor"/>
    </font>
    <font>
      <sz val="12"/>
      <color rgb="FF4EC9B0"/>
      <name val="Menlo"/>
      <family val="2"/>
    </font>
    <font>
      <sz val="10"/>
      <color rgb="FF0000FF"/>
      <name val="Consolas"/>
      <family val="2"/>
    </font>
    <font>
      <b/>
      <sz val="12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ABA0-45A3-CE41-BCC1-A3347CEBD28F}">
  <dimension ref="A1:J84"/>
  <sheetViews>
    <sheetView tabSelected="1" topLeftCell="H41" zoomScale="150" workbookViewId="0">
      <selection activeCell="H45" sqref="H45"/>
    </sheetView>
  </sheetViews>
  <sheetFormatPr baseColWidth="10" defaultRowHeight="16" x14ac:dyDescent="0.2"/>
  <cols>
    <col min="1" max="1" width="55.33203125" customWidth="1"/>
    <col min="2" max="2" width="20.83203125" customWidth="1"/>
    <col min="3" max="5" width="43.33203125" customWidth="1"/>
    <col min="6" max="6" width="25.33203125" style="6" bestFit="1" customWidth="1"/>
    <col min="7" max="7" width="27.83203125" style="6" bestFit="1" customWidth="1"/>
    <col min="8" max="8" width="71" bestFit="1" customWidth="1"/>
    <col min="9" max="9" width="34.33203125" bestFit="1" customWidth="1"/>
    <col min="10" max="10" width="90.83203125" bestFit="1" customWidth="1"/>
  </cols>
  <sheetData>
    <row r="1" spans="1:10" s="2" customFormat="1" x14ac:dyDescent="0.2">
      <c r="A1" s="2" t="s">
        <v>6</v>
      </c>
      <c r="B1" s="2" t="s">
        <v>1</v>
      </c>
      <c r="C1" s="2" t="s">
        <v>0</v>
      </c>
      <c r="F1" s="5" t="s">
        <v>8</v>
      </c>
      <c r="G1" s="5" t="s">
        <v>7</v>
      </c>
      <c r="H1" s="2" t="s">
        <v>9</v>
      </c>
      <c r="J1" s="4" t="s">
        <v>13</v>
      </c>
    </row>
    <row r="2" spans="1:10" x14ac:dyDescent="0.2">
      <c r="A2" s="1" t="s">
        <v>14</v>
      </c>
      <c r="B2" t="s">
        <v>3</v>
      </c>
      <c r="C2" t="str">
        <f>SUBSTITUTE(TRIM(RIGHT(SUBSTITUTE(A2," ",REPT(" ",100)),100)),",","")</f>
        <v>tenantId</v>
      </c>
      <c r="D2" t="str">
        <f>"this."&amp;C2 &amp; ","</f>
        <v>this.tenantId,</v>
      </c>
      <c r="E2" t="str">
        <f>"final " &amp; VLOOKUP(B2,Sheet2!$A$1:$B$4,2,FALSE) &amp; " " &amp; C2 &amp; ";"</f>
        <v>final String tenantId;</v>
      </c>
      <c r="F2" s="6" t="str">
        <f>UPPER(MID(C2,1,1)) &amp; MID(C2,2,9999)</f>
        <v>TenantId</v>
      </c>
      <c r="G2" s="6" t="str">
        <f>"col"&amp;F2</f>
        <v>colTenantId</v>
      </c>
      <c r="H2" t="str">
        <f>"final String "&amp;G2&amp;"= '"&amp;C2&amp;"';"</f>
        <v>final String colTenantId= 'tenantId';</v>
      </c>
      <c r="I2" t="str">
        <f>"$"&amp;G2&amp;" "&amp;B2&amp;","</f>
        <v>$colTenantId TEXT,</v>
      </c>
      <c r="J2" t="str">
        <f>"ALTER TABLE ${"&amp;$J$1&amp;".tableName} ADD COLUMN ${"&amp;$J$1&amp;"."&amp;G2&amp;"} "&amp;B2&amp;";"</f>
        <v>ALTER TABLE ${eventsTableHelper.tableName} ADD COLUMN ${eventsTableHelper.colTenantId} TEXT;</v>
      </c>
    </row>
    <row r="3" spans="1:10" x14ac:dyDescent="0.2">
      <c r="A3" s="3" t="s">
        <v>15</v>
      </c>
      <c r="B3" t="s">
        <v>3</v>
      </c>
      <c r="C3" t="str">
        <f t="shared" ref="C3:C22" si="0">SUBSTITUTE(TRIM(RIGHT(SUBSTITUTE(A3," ",REPT(" ",100)),100)),",","")</f>
        <v>facilityId</v>
      </c>
      <c r="D3" t="str">
        <f t="shared" ref="D3:D22" si="1">"this."&amp;C3 &amp; ","</f>
        <v>this.facilityId,</v>
      </c>
      <c r="E3" t="str">
        <f>"final " &amp; VLOOKUP(B3,Sheet2!$A$1:$B$4,2,FALSE) &amp; " " &amp; C3 &amp; ";"</f>
        <v>final String facilityId;</v>
      </c>
      <c r="F3" s="6" t="str">
        <f>UPPER(MID(C3,1,1)) &amp; MID(C3,2,9999)</f>
        <v>FacilityId</v>
      </c>
      <c r="G3" s="6" t="str">
        <f t="shared" ref="G3:G21" si="2">"col"&amp;F3</f>
        <v>colFacilityId</v>
      </c>
      <c r="H3" t="str">
        <f>"final String "&amp;G3&amp;"= '"&amp;C3&amp;"';"</f>
        <v>final String colFacilityId= 'facilityId';</v>
      </c>
      <c r="I3" t="str">
        <f>"$"&amp;G3&amp;" "&amp;B3&amp;","</f>
        <v>$colFacilityId TEXT,</v>
      </c>
      <c r="J3" t="str">
        <f>"ALTER TABLE ${"&amp;$J$1&amp;".tableName} ADD COLUMN ${"&amp;$J$1&amp;"."&amp;G3&amp;"} "&amp;B3&amp;";"</f>
        <v>ALTER TABLE ${eventsTableHelper.tableName} ADD COLUMN ${eventsTableHelper.colFacilityId} TEXT;</v>
      </c>
    </row>
    <row r="4" spans="1:10" x14ac:dyDescent="0.2">
      <c r="A4" s="3" t="s">
        <v>16</v>
      </c>
      <c r="B4" t="s">
        <v>3</v>
      </c>
      <c r="C4" t="str">
        <f t="shared" si="0"/>
        <v>facilityCode</v>
      </c>
      <c r="D4" t="str">
        <f t="shared" si="1"/>
        <v>this.facilityCode,</v>
      </c>
      <c r="E4" t="str">
        <f>"final " &amp; VLOOKUP(B4,Sheet2!$A$1:$B$4,2,FALSE) &amp; " " &amp; C4 &amp; ";"</f>
        <v>final String facilityCode;</v>
      </c>
      <c r="F4" s="6" t="str">
        <f>UPPER(MID(C4,1,1)) &amp; MID(C4,2,9999)</f>
        <v>FacilityCode</v>
      </c>
      <c r="G4" s="6" t="str">
        <f t="shared" si="2"/>
        <v>colFacilityCode</v>
      </c>
      <c r="H4" t="str">
        <f>"final String "&amp;G4&amp;"= '"&amp;C4&amp;"';"</f>
        <v>final String colFacilityCode= 'facilityCode';</v>
      </c>
      <c r="I4" t="str">
        <f>"$"&amp;G4&amp;" "&amp;B4&amp;","</f>
        <v>$colFacilityCode TEXT,</v>
      </c>
      <c r="J4" t="str">
        <f>"ALTER TABLE ${"&amp;$J$1&amp;".tableName} ADD COLUMN ${"&amp;$J$1&amp;"."&amp;G4&amp;"} "&amp;B4&amp;";"</f>
        <v>ALTER TABLE ${eventsTableHelper.tableName} ADD COLUMN ${eventsTableHelper.colFacilityCode} TEXT;</v>
      </c>
    </row>
    <row r="5" spans="1:10" x14ac:dyDescent="0.2">
      <c r="A5" s="3" t="s">
        <v>17</v>
      </c>
      <c r="B5" t="s">
        <v>3</v>
      </c>
      <c r="C5" t="str">
        <f t="shared" si="0"/>
        <v>facilityName</v>
      </c>
      <c r="D5" t="str">
        <f t="shared" si="1"/>
        <v>this.facilityName,</v>
      </c>
      <c r="E5" t="str">
        <f>"final " &amp; VLOOKUP(B5,Sheet2!$A$1:$B$4,2,FALSE) &amp; " " &amp; C5 &amp; ";"</f>
        <v>final String facilityName;</v>
      </c>
      <c r="F5" s="6" t="str">
        <f>UPPER(MID(C5,1,1)) &amp; MID(C5,2,9999)</f>
        <v>FacilityName</v>
      </c>
      <c r="G5" s="6" t="str">
        <f t="shared" si="2"/>
        <v>colFacilityName</v>
      </c>
      <c r="H5" t="str">
        <f>"final String "&amp;G5&amp;"= '"&amp;C5&amp;"';"</f>
        <v>final String colFacilityName= 'facilityName';</v>
      </c>
      <c r="I5" t="str">
        <f>"$"&amp;G5&amp;" "&amp;B5&amp;","</f>
        <v>$colFacilityName TEXT,</v>
      </c>
      <c r="J5" t="str">
        <f>"ALTER TABLE ${"&amp;$J$1&amp;".tableName} ADD COLUMN ${"&amp;$J$1&amp;"."&amp;G5&amp;"} "&amp;B5&amp;";"</f>
        <v>ALTER TABLE ${eventsTableHelper.tableName} ADD COLUMN ${eventsTableHelper.colFacilityName} TEXT;</v>
      </c>
    </row>
    <row r="6" spans="1:10" x14ac:dyDescent="0.2">
      <c r="A6" s="3" t="s">
        <v>18</v>
      </c>
      <c r="B6" t="s">
        <v>4</v>
      </c>
      <c r="C6" t="str">
        <f t="shared" si="0"/>
        <v>isActive</v>
      </c>
      <c r="D6" t="str">
        <f t="shared" si="1"/>
        <v>this.isActive,</v>
      </c>
      <c r="E6" t="str">
        <f>"final " &amp; VLOOKUP(B6,Sheet2!$A$1:$B$4,2,FALSE) &amp; " " &amp; C6 &amp; ";"</f>
        <v>final int isActive;</v>
      </c>
      <c r="F6" s="6" t="str">
        <f>UPPER(MID(C6,1,1)) &amp; MID(C6,2,9999)</f>
        <v>IsActive</v>
      </c>
      <c r="G6" s="6" t="str">
        <f t="shared" si="2"/>
        <v>colIsActive</v>
      </c>
      <c r="H6" t="str">
        <f>"final String "&amp;G6&amp;"= '"&amp;C6&amp;"';"</f>
        <v>final String colIsActive= 'isActive';</v>
      </c>
      <c r="I6" t="str">
        <f>"$"&amp;G6&amp;" "&amp;B6&amp;","</f>
        <v>$colIsActive INT,</v>
      </c>
      <c r="J6" t="str">
        <f>"ALTER TABLE ${"&amp;$J$1&amp;".tableName} ADD COLUMN ${"&amp;$J$1&amp;"."&amp;G6&amp;"} "&amp;B6&amp;";"</f>
        <v>ALTER TABLE ${eventsTableHelper.tableName} ADD COLUMN ${eventsTableHelper.colIsActive} INT;</v>
      </c>
    </row>
    <row r="7" spans="1:10" x14ac:dyDescent="0.2">
      <c r="A7" s="3"/>
      <c r="C7" t="str">
        <f t="shared" ref="C7:C70" si="3">SUBSTITUTE(TRIM(RIGHT(SUBSTITUTE(A7," ",REPT(" ",100)),100)),",","")</f>
        <v/>
      </c>
      <c r="D7" t="str">
        <f t="shared" ref="D7:D70" si="4">"this."&amp;C7 &amp; ","</f>
        <v>this.,</v>
      </c>
      <c r="E7" t="e">
        <f>"final " &amp; VLOOKUP(B7,Sheet2!$A$1:$B$4,2,FALSE) &amp; " " &amp; C7 &amp; ";"</f>
        <v>#N/A</v>
      </c>
      <c r="F7" s="6" t="str">
        <f t="shared" ref="F7:F70" si="5">UPPER(MID(C7,1,1)) &amp; MID(C7,2,9999)</f>
        <v/>
      </c>
      <c r="G7" s="6" t="str">
        <f t="shared" ref="G7:G70" si="6">"col"&amp;F7</f>
        <v>col</v>
      </c>
      <c r="H7" t="str">
        <f t="shared" ref="H7:H70" si="7">"final String "&amp;G7&amp;"= '"&amp;C7&amp;"';"</f>
        <v>final String col= '';</v>
      </c>
      <c r="I7" t="str">
        <f>"$"&amp;G7&amp;" "&amp;B7&amp;","</f>
        <v>$col ,</v>
      </c>
      <c r="J7" t="str">
        <f>"ALTER TABLE ${"&amp;$J$1&amp;".tableName} ADD COLUMN ${"&amp;$J$1&amp;"."&amp;G7&amp;"} "&amp;B7&amp;";"</f>
        <v>ALTER TABLE ${eventsTableHelper.tableName} ADD COLUMN ${eventsTableHelper.col} ;</v>
      </c>
    </row>
    <row r="8" spans="1:10" x14ac:dyDescent="0.2">
      <c r="A8" s="1" t="s">
        <v>14</v>
      </c>
      <c r="B8" t="s">
        <v>3</v>
      </c>
      <c r="C8" t="str">
        <f t="shared" si="3"/>
        <v>tenantId</v>
      </c>
      <c r="D8" t="str">
        <f t="shared" si="4"/>
        <v>this.tenantId,</v>
      </c>
      <c r="E8" t="str">
        <f>"final " &amp; VLOOKUP(B8,Sheet2!$A$1:$B$4,2,FALSE) &amp; " " &amp; C8 &amp; ";"</f>
        <v>final String tenantId;</v>
      </c>
      <c r="F8" s="6" t="str">
        <f t="shared" si="5"/>
        <v>TenantId</v>
      </c>
      <c r="G8" s="6" t="str">
        <f t="shared" si="6"/>
        <v>colTenantId</v>
      </c>
      <c r="H8" t="str">
        <f t="shared" si="7"/>
        <v>final String colTenantId= 'tenantId';</v>
      </c>
      <c r="I8" t="str">
        <f>"$"&amp;G8&amp;" "&amp;B8&amp;","</f>
        <v>$colTenantId TEXT,</v>
      </c>
      <c r="J8" t="str">
        <f>"ALTER TABLE ${"&amp;$J$1&amp;".tableName} ADD COLUMN ${"&amp;$J$1&amp;"."&amp;G8&amp;"} "&amp;B8&amp;";"</f>
        <v>ALTER TABLE ${eventsTableHelper.tableName} ADD COLUMN ${eventsTableHelper.colTenantId} TEXT;</v>
      </c>
    </row>
    <row r="9" spans="1:10" x14ac:dyDescent="0.2">
      <c r="A9" s="1" t="s">
        <v>19</v>
      </c>
      <c r="B9" t="s">
        <v>3</v>
      </c>
      <c r="C9" t="str">
        <f t="shared" si="3"/>
        <v>buildingId</v>
      </c>
      <c r="D9" t="str">
        <f t="shared" si="4"/>
        <v>this.buildingId,</v>
      </c>
      <c r="E9" t="str">
        <f>"final " &amp; VLOOKUP(B9,Sheet2!$A$1:$B$4,2,FALSE) &amp; " " &amp; C9 &amp; ";"</f>
        <v>final String buildingId;</v>
      </c>
      <c r="F9" s="6" t="str">
        <f t="shared" si="5"/>
        <v>BuildingId</v>
      </c>
      <c r="G9" s="6" t="str">
        <f t="shared" si="6"/>
        <v>colBuildingId</v>
      </c>
      <c r="H9" t="str">
        <f t="shared" si="7"/>
        <v>final String colBuildingId= 'buildingId';</v>
      </c>
      <c r="I9" t="str">
        <f>"$"&amp;G9&amp;" "&amp;B9&amp;","</f>
        <v>$colBuildingId TEXT,</v>
      </c>
      <c r="J9" t="str">
        <f>"ALTER TABLE ${"&amp;$J$1&amp;".tableName} ADD COLUMN ${"&amp;$J$1&amp;"."&amp;G9&amp;"} "&amp;B9&amp;";"</f>
        <v>ALTER TABLE ${eventsTableHelper.tableName} ADD COLUMN ${eventsTableHelper.colBuildingId} TEXT;</v>
      </c>
    </row>
    <row r="10" spans="1:10" x14ac:dyDescent="0.2">
      <c r="A10" s="1" t="s">
        <v>20</v>
      </c>
      <c r="B10" t="s">
        <v>3</v>
      </c>
      <c r="C10" t="str">
        <f t="shared" si="3"/>
        <v>facilityId</v>
      </c>
      <c r="D10" t="str">
        <f t="shared" si="4"/>
        <v>this.facilityId,</v>
      </c>
      <c r="E10" t="str">
        <f>"final " &amp; VLOOKUP(B10,Sheet2!$A$1:$B$4,2,FALSE) &amp; " " &amp; C10 &amp; ";"</f>
        <v>final String facilityId;</v>
      </c>
      <c r="F10" s="6" t="str">
        <f t="shared" si="5"/>
        <v>FacilityId</v>
      </c>
      <c r="G10" s="6" t="str">
        <f t="shared" si="6"/>
        <v>colFacilityId</v>
      </c>
      <c r="H10" t="str">
        <f t="shared" si="7"/>
        <v>final String colFacilityId= 'facilityId';</v>
      </c>
      <c r="I10" t="str">
        <f>"$"&amp;G10&amp;" "&amp;B10&amp;","</f>
        <v>$colFacilityId TEXT,</v>
      </c>
      <c r="J10" t="str">
        <f>"ALTER TABLE ${"&amp;$J$1&amp;".tableName} ADD COLUMN ${"&amp;$J$1&amp;"."&amp;G10&amp;"} "&amp;B10&amp;";"</f>
        <v>ALTER TABLE ${eventsTableHelper.tableName} ADD COLUMN ${eventsTableHelper.colFacilityId} TEXT;</v>
      </c>
    </row>
    <row r="11" spans="1:10" x14ac:dyDescent="0.2">
      <c r="A11" s="1" t="s">
        <v>21</v>
      </c>
      <c r="B11" t="s">
        <v>3</v>
      </c>
      <c r="C11" t="str">
        <f t="shared" si="3"/>
        <v>buildingName</v>
      </c>
      <c r="D11" t="str">
        <f t="shared" si="4"/>
        <v>this.buildingName,</v>
      </c>
      <c r="E11" t="str">
        <f>"final " &amp; VLOOKUP(B11,Sheet2!$A$1:$B$4,2,FALSE) &amp; " " &amp; C11 &amp; ";"</f>
        <v>final String buildingName;</v>
      </c>
      <c r="F11" s="6" t="str">
        <f t="shared" si="5"/>
        <v>BuildingName</v>
      </c>
      <c r="G11" s="6" t="str">
        <f t="shared" si="6"/>
        <v>colBuildingName</v>
      </c>
      <c r="H11" t="str">
        <f t="shared" si="7"/>
        <v>final String colBuildingName= 'buildingName';</v>
      </c>
      <c r="I11" t="str">
        <f>"$"&amp;G11&amp;" "&amp;B11&amp;","</f>
        <v>$colBuildingName TEXT,</v>
      </c>
      <c r="J11" t="str">
        <f>"ALTER TABLE ${"&amp;$J$1&amp;".tableName} ADD COLUMN ${"&amp;$J$1&amp;"."&amp;G11&amp;"} "&amp;B11&amp;";"</f>
        <v>ALTER TABLE ${eventsTableHelper.tableName} ADD COLUMN ${eventsTableHelper.colBuildingName} TEXT;</v>
      </c>
    </row>
    <row r="12" spans="1:10" x14ac:dyDescent="0.2">
      <c r="A12" s="1" t="s">
        <v>22</v>
      </c>
      <c r="B12" t="s">
        <v>3</v>
      </c>
      <c r="C12" t="str">
        <f t="shared" si="3"/>
        <v>buildingCode</v>
      </c>
      <c r="D12" t="str">
        <f t="shared" si="4"/>
        <v>this.buildingCode,</v>
      </c>
      <c r="E12" t="str">
        <f>"final " &amp; VLOOKUP(B12,Sheet2!$A$1:$B$4,2,FALSE) &amp; " " &amp; C12 &amp; ";"</f>
        <v>final String buildingCode;</v>
      </c>
      <c r="F12" s="6" t="str">
        <f t="shared" si="5"/>
        <v>BuildingCode</v>
      </c>
      <c r="G12" s="6" t="str">
        <f t="shared" si="6"/>
        <v>colBuildingCode</v>
      </c>
      <c r="H12" t="str">
        <f t="shared" si="7"/>
        <v>final String colBuildingCode= 'buildingCode';</v>
      </c>
      <c r="I12" t="str">
        <f>"$"&amp;G12&amp;" "&amp;B12&amp;","</f>
        <v>$colBuildingCode TEXT,</v>
      </c>
      <c r="J12" t="str">
        <f>"ALTER TABLE ${"&amp;$J$1&amp;".tableName} ADD COLUMN ${"&amp;$J$1&amp;"."&amp;G12&amp;"} "&amp;B12&amp;";"</f>
        <v>ALTER TABLE ${eventsTableHelper.tableName} ADD COLUMN ${eventsTableHelper.colBuildingCode} TEXT;</v>
      </c>
    </row>
    <row r="13" spans="1:10" x14ac:dyDescent="0.2">
      <c r="A13" s="1" t="s">
        <v>23</v>
      </c>
      <c r="B13" t="s">
        <v>4</v>
      </c>
      <c r="C13" t="str">
        <f t="shared" si="3"/>
        <v>isNoZone</v>
      </c>
      <c r="D13" t="str">
        <f t="shared" si="4"/>
        <v>this.isNoZone,</v>
      </c>
      <c r="E13" t="str">
        <f>"final " &amp; VLOOKUP(B13,Sheet2!$A$1:$B$4,2,FALSE) &amp; " " &amp; C13 &amp; ";"</f>
        <v>final int isNoZone;</v>
      </c>
      <c r="F13" s="6" t="str">
        <f t="shared" si="5"/>
        <v>IsNoZone</v>
      </c>
      <c r="G13" s="6" t="str">
        <f t="shared" si="6"/>
        <v>colIsNoZone</v>
      </c>
      <c r="H13" t="str">
        <f t="shared" si="7"/>
        <v>final String colIsNoZone= 'isNoZone';</v>
      </c>
      <c r="I13" t="str">
        <f>"$"&amp;G13&amp;" "&amp;B13&amp;","</f>
        <v>$colIsNoZone INT,</v>
      </c>
      <c r="J13" t="str">
        <f>"ALTER TABLE ${"&amp;$J$1&amp;".tableName} ADD COLUMN ${"&amp;$J$1&amp;"."&amp;G13&amp;"} "&amp;B13&amp;";"</f>
        <v>ALTER TABLE ${eventsTableHelper.tableName} ADD COLUMN ${eventsTableHelper.colIsNoZone} INT;</v>
      </c>
    </row>
    <row r="14" spans="1:10" x14ac:dyDescent="0.2">
      <c r="A14" s="1" t="s">
        <v>24</v>
      </c>
      <c r="B14" t="s">
        <v>4</v>
      </c>
      <c r="C14" t="str">
        <f t="shared" si="3"/>
        <v>isActive</v>
      </c>
      <c r="D14" t="str">
        <f t="shared" si="4"/>
        <v>this.isActive,</v>
      </c>
      <c r="E14" t="str">
        <f>"final " &amp; VLOOKUP(B14,Sheet2!$A$1:$B$4,2,FALSE) &amp; " " &amp; C14 &amp; ";"</f>
        <v>final int isActive;</v>
      </c>
      <c r="F14" s="6" t="str">
        <f t="shared" si="5"/>
        <v>IsActive</v>
      </c>
      <c r="G14" s="6" t="str">
        <f t="shared" si="6"/>
        <v>colIsActive</v>
      </c>
      <c r="H14" t="str">
        <f t="shared" si="7"/>
        <v>final String colIsActive= 'isActive';</v>
      </c>
      <c r="I14" t="str">
        <f>"$"&amp;G14&amp;" "&amp;B14&amp;","</f>
        <v>$colIsActive INT,</v>
      </c>
      <c r="J14" t="str">
        <f>"ALTER TABLE ${"&amp;$J$1&amp;".tableName} ADD COLUMN ${"&amp;$J$1&amp;"."&amp;G14&amp;"} "&amp;B14&amp;";"</f>
        <v>ALTER TABLE ${eventsTableHelper.tableName} ADD COLUMN ${eventsTableHelper.colIsActive} INT;</v>
      </c>
    </row>
    <row r="15" spans="1:10" x14ac:dyDescent="0.2">
      <c r="C15" t="str">
        <f t="shared" si="3"/>
        <v/>
      </c>
      <c r="D15" t="str">
        <f t="shared" si="4"/>
        <v>this.,</v>
      </c>
      <c r="E15" t="e">
        <f>"final " &amp; VLOOKUP(B15,Sheet2!$A$1:$B$4,2,FALSE) &amp; " " &amp; C15 &amp; ";"</f>
        <v>#N/A</v>
      </c>
      <c r="F15" s="6" t="str">
        <f t="shared" si="5"/>
        <v/>
      </c>
      <c r="G15" s="6" t="str">
        <f t="shared" si="6"/>
        <v>col</v>
      </c>
      <c r="H15" t="str">
        <f t="shared" si="7"/>
        <v>final String col= '';</v>
      </c>
      <c r="I15" t="str">
        <f>"$"&amp;G15&amp;" "&amp;B15&amp;","</f>
        <v>$col ,</v>
      </c>
      <c r="J15" t="str">
        <f>"ALTER TABLE ${"&amp;$J$1&amp;".tableName} ADD COLUMN ${"&amp;$J$1&amp;"."&amp;G15&amp;"} "&amp;B15&amp;";"</f>
        <v>ALTER TABLE ${eventsTableHelper.tableName} ADD COLUMN ${eventsTableHelper.col} ;</v>
      </c>
    </row>
    <row r="16" spans="1:10" x14ac:dyDescent="0.2">
      <c r="A16" s="1" t="s">
        <v>14</v>
      </c>
      <c r="B16" t="s">
        <v>3</v>
      </c>
      <c r="C16" t="str">
        <f t="shared" si="3"/>
        <v>tenantId</v>
      </c>
      <c r="D16" t="str">
        <f t="shared" si="4"/>
        <v>this.tenantId,</v>
      </c>
      <c r="E16" t="str">
        <f>"final " &amp; VLOOKUP(B16,Sheet2!$A$1:$B$4,2,FALSE) &amp; " " &amp; C16 &amp; ";"</f>
        <v>final String tenantId;</v>
      </c>
      <c r="F16" s="6" t="str">
        <f t="shared" si="5"/>
        <v>TenantId</v>
      </c>
      <c r="G16" s="6" t="str">
        <f t="shared" si="6"/>
        <v>colTenantId</v>
      </c>
      <c r="H16" t="str">
        <f t="shared" si="7"/>
        <v>final String colTenantId= 'tenantId';</v>
      </c>
      <c r="I16" t="str">
        <f>"$"&amp;G16&amp;" "&amp;B16&amp;","</f>
        <v>$colTenantId TEXT,</v>
      </c>
      <c r="J16" t="str">
        <f>"ALTER TABLE ${"&amp;$J$1&amp;".tableName} ADD COLUMN ${"&amp;$J$1&amp;"."&amp;G16&amp;"} "&amp;B16&amp;";"</f>
        <v>ALTER TABLE ${eventsTableHelper.tableName} ADD COLUMN ${eventsTableHelper.colTenantId} TEXT;</v>
      </c>
    </row>
    <row r="17" spans="1:10" x14ac:dyDescent="0.2">
      <c r="A17" s="1" t="s">
        <v>25</v>
      </c>
      <c r="B17" t="s">
        <v>3</v>
      </c>
      <c r="C17" t="str">
        <f t="shared" si="3"/>
        <v>roomId</v>
      </c>
      <c r="D17" t="str">
        <f t="shared" si="4"/>
        <v>this.roomId,</v>
      </c>
      <c r="E17" t="str">
        <f>"final " &amp; VLOOKUP(B17,Sheet2!$A$1:$B$4,2,FALSE) &amp; " " &amp; C17 &amp; ";"</f>
        <v>final String roomId;</v>
      </c>
      <c r="F17" s="6" t="str">
        <f t="shared" si="5"/>
        <v>RoomId</v>
      </c>
      <c r="G17" s="6" t="str">
        <f t="shared" si="6"/>
        <v>colRoomId</v>
      </c>
      <c r="H17" t="str">
        <f t="shared" si="7"/>
        <v>final String colRoomId= 'roomId';</v>
      </c>
      <c r="I17" t="str">
        <f>"$"&amp;G17&amp;" "&amp;B17&amp;","</f>
        <v>$colRoomId TEXT,</v>
      </c>
      <c r="J17" t="str">
        <f>"ALTER TABLE ${"&amp;$J$1&amp;".tableName} ADD COLUMN ${"&amp;$J$1&amp;"."&amp;G17&amp;"} "&amp;B17&amp;";"</f>
        <v>ALTER TABLE ${eventsTableHelper.tableName} ADD COLUMN ${eventsTableHelper.colRoomId} TEXT;</v>
      </c>
    </row>
    <row r="18" spans="1:10" x14ac:dyDescent="0.2">
      <c r="A18" s="1" t="s">
        <v>19</v>
      </c>
      <c r="B18" t="s">
        <v>3</v>
      </c>
      <c r="C18" t="str">
        <f t="shared" si="3"/>
        <v>buildingId</v>
      </c>
      <c r="D18" t="str">
        <f t="shared" si="4"/>
        <v>this.buildingId,</v>
      </c>
      <c r="E18" t="str">
        <f>"final " &amp; VLOOKUP(B18,Sheet2!$A$1:$B$4,2,FALSE) &amp; " " &amp; C18 &amp; ";"</f>
        <v>final String buildingId;</v>
      </c>
      <c r="F18" s="6" t="str">
        <f t="shared" si="5"/>
        <v>BuildingId</v>
      </c>
      <c r="G18" s="6" t="str">
        <f t="shared" si="6"/>
        <v>colBuildingId</v>
      </c>
      <c r="H18" t="str">
        <f t="shared" si="7"/>
        <v>final String colBuildingId= 'buildingId';</v>
      </c>
      <c r="I18" t="str">
        <f>"$"&amp;G18&amp;" "&amp;B18&amp;","</f>
        <v>$colBuildingId TEXT,</v>
      </c>
      <c r="J18" t="str">
        <f>"ALTER TABLE ${"&amp;$J$1&amp;".tableName} ADD COLUMN ${"&amp;$J$1&amp;"."&amp;G18&amp;"} "&amp;B18&amp;";"</f>
        <v>ALTER TABLE ${eventsTableHelper.tableName} ADD COLUMN ${eventsTableHelper.colBuildingId} TEXT;</v>
      </c>
    </row>
    <row r="19" spans="1:10" x14ac:dyDescent="0.2">
      <c r="A19" s="1" t="s">
        <v>26</v>
      </c>
      <c r="B19" t="s">
        <v>3</v>
      </c>
      <c r="C19" t="str">
        <f t="shared" si="3"/>
        <v>roomName</v>
      </c>
      <c r="D19" t="str">
        <f t="shared" si="4"/>
        <v>this.roomName,</v>
      </c>
      <c r="E19" t="str">
        <f>"final " &amp; VLOOKUP(B19,Sheet2!$A$1:$B$4,2,FALSE) &amp; " " &amp; C19 &amp; ";"</f>
        <v>final String roomName;</v>
      </c>
      <c r="F19" s="6" t="str">
        <f t="shared" si="5"/>
        <v>RoomName</v>
      </c>
      <c r="G19" s="6" t="str">
        <f t="shared" si="6"/>
        <v>colRoomName</v>
      </c>
      <c r="H19" t="str">
        <f t="shared" si="7"/>
        <v>final String colRoomName= 'roomName';</v>
      </c>
      <c r="I19" t="str">
        <f>"$"&amp;G19&amp;" "&amp;B19&amp;","</f>
        <v>$colRoomName TEXT,</v>
      </c>
      <c r="J19" t="str">
        <f>"ALTER TABLE ${"&amp;$J$1&amp;".tableName} ADD COLUMN ${"&amp;$J$1&amp;"."&amp;G19&amp;"} "&amp;B19&amp;";"</f>
        <v>ALTER TABLE ${eventsTableHelper.tableName} ADD COLUMN ${eventsTableHelper.colRoomName} TEXT;</v>
      </c>
    </row>
    <row r="20" spans="1:10" x14ac:dyDescent="0.2">
      <c r="A20" s="1" t="s">
        <v>27</v>
      </c>
      <c r="B20" t="s">
        <v>3</v>
      </c>
      <c r="C20" t="str">
        <f t="shared" si="3"/>
        <v>qrCode</v>
      </c>
      <c r="D20" t="str">
        <f t="shared" si="4"/>
        <v>this.qrCode,</v>
      </c>
      <c r="E20" t="str">
        <f>"final " &amp; VLOOKUP(B20,Sheet2!$A$1:$B$4,2,FALSE) &amp; " " &amp; C20 &amp; ";"</f>
        <v>final String qrCode;</v>
      </c>
      <c r="F20" s="6" t="str">
        <f t="shared" si="5"/>
        <v>QrCode</v>
      </c>
      <c r="G20" s="6" t="str">
        <f t="shared" si="6"/>
        <v>colQrCode</v>
      </c>
      <c r="H20" t="str">
        <f t="shared" si="7"/>
        <v>final String colQrCode= 'qrCode';</v>
      </c>
      <c r="I20" t="str">
        <f>"$"&amp;G20&amp;" "&amp;B20&amp;","</f>
        <v>$colQrCode TEXT,</v>
      </c>
      <c r="J20" t="str">
        <f>"ALTER TABLE ${"&amp;$J$1&amp;".tableName} ADD COLUMN ${"&amp;$J$1&amp;"."&amp;G20&amp;"} "&amp;B20&amp;";"</f>
        <v>ALTER TABLE ${eventsTableHelper.tableName} ADD COLUMN ${eventsTableHelper.colQrCode} TEXT;</v>
      </c>
    </row>
    <row r="21" spans="1:10" x14ac:dyDescent="0.2">
      <c r="A21" s="1" t="s">
        <v>28</v>
      </c>
      <c r="B21" t="s">
        <v>4</v>
      </c>
      <c r="C21" t="str">
        <f t="shared" si="3"/>
        <v>occupancy</v>
      </c>
      <c r="D21" t="str">
        <f t="shared" si="4"/>
        <v>this.occupancy,</v>
      </c>
      <c r="E21" t="str">
        <f>"final " &amp; VLOOKUP(B21,Sheet2!$A$1:$B$4,2,FALSE) &amp; " " &amp; C21 &amp; ";"</f>
        <v>final int occupancy;</v>
      </c>
      <c r="F21" s="6" t="str">
        <f t="shared" si="5"/>
        <v>Occupancy</v>
      </c>
      <c r="G21" s="6" t="str">
        <f t="shared" si="6"/>
        <v>colOccupancy</v>
      </c>
      <c r="H21" t="str">
        <f t="shared" si="7"/>
        <v>final String colOccupancy= 'occupancy';</v>
      </c>
      <c r="I21" t="str">
        <f>"$"&amp;G21&amp;" "&amp;B21&amp;","</f>
        <v>$colOccupancy INT,</v>
      </c>
      <c r="J21" t="str">
        <f>"ALTER TABLE ${"&amp;$J$1&amp;".tableName} ADD COLUMN ${"&amp;$J$1&amp;"."&amp;G21&amp;"} "&amp;B21&amp;";"</f>
        <v>ALTER TABLE ${eventsTableHelper.tableName} ADD COLUMN ${eventsTableHelper.colOccupancy} INT;</v>
      </c>
    </row>
    <row r="22" spans="1:10" x14ac:dyDescent="0.2">
      <c r="A22" s="1" t="s">
        <v>29</v>
      </c>
      <c r="B22" t="s">
        <v>4</v>
      </c>
      <c r="C22" t="str">
        <f t="shared" si="3"/>
        <v>roomType</v>
      </c>
      <c r="D22" t="str">
        <f t="shared" si="4"/>
        <v>this.roomType,</v>
      </c>
      <c r="E22" t="str">
        <f>"final " &amp; VLOOKUP(B22,Sheet2!$A$1:$B$4,2,FALSE) &amp; " " &amp; C22 &amp; ";"</f>
        <v>final int roomType;</v>
      </c>
      <c r="F22" s="6" t="str">
        <f t="shared" si="5"/>
        <v>RoomType</v>
      </c>
      <c r="G22" s="6" t="str">
        <f t="shared" si="6"/>
        <v>colRoomType</v>
      </c>
      <c r="H22" t="str">
        <f t="shared" si="7"/>
        <v>final String colRoomType= 'roomType';</v>
      </c>
      <c r="I22" t="str">
        <f t="shared" ref="I22:I83" si="8">"$"&amp;G22&amp;" "&amp;B22&amp;","</f>
        <v>$colRoomType INT,</v>
      </c>
      <c r="J22" t="str">
        <f t="shared" ref="J22:J83" si="9">"ALTER TABLE ${"&amp;$J$1&amp;".tableName} ADD COLUMN ${"&amp;$J$1&amp;"."&amp;G22&amp;"} "&amp;B22&amp;";"</f>
        <v>ALTER TABLE ${eventsTableHelper.tableName} ADD COLUMN ${eventsTableHelper.colRoomType} INT;</v>
      </c>
    </row>
    <row r="23" spans="1:10" x14ac:dyDescent="0.2">
      <c r="A23" s="1" t="s">
        <v>53</v>
      </c>
      <c r="B23" t="s">
        <v>4</v>
      </c>
      <c r="C23" t="str">
        <f t="shared" si="3"/>
        <v>floor</v>
      </c>
      <c r="D23" t="str">
        <f t="shared" si="4"/>
        <v>this.floor,</v>
      </c>
      <c r="E23" t="str">
        <f>"final " &amp; VLOOKUP(B23,Sheet2!$A$1:$B$4,2,FALSE) &amp; " " &amp; C23 &amp; ";"</f>
        <v>final int floor;</v>
      </c>
      <c r="F23" s="6" t="str">
        <f t="shared" si="5"/>
        <v>Floor</v>
      </c>
      <c r="G23" s="6" t="str">
        <f t="shared" si="6"/>
        <v>colFloor</v>
      </c>
      <c r="H23" t="str">
        <f t="shared" si="7"/>
        <v>final String colFloor= 'floor';</v>
      </c>
      <c r="I23" t="str">
        <f t="shared" si="8"/>
        <v>$colFloor INT,</v>
      </c>
      <c r="J23" t="str">
        <f t="shared" si="9"/>
        <v>ALTER TABLE ${eventsTableHelper.tableName} ADD COLUMN ${eventsTableHelper.colFloor} INT;</v>
      </c>
    </row>
    <row r="24" spans="1:10" x14ac:dyDescent="0.2">
      <c r="A24" s="1" t="s">
        <v>30</v>
      </c>
      <c r="B24" t="s">
        <v>4</v>
      </c>
      <c r="C24" t="str">
        <f t="shared" si="3"/>
        <v>securityLevel</v>
      </c>
      <c r="D24" t="str">
        <f t="shared" si="4"/>
        <v>this.securityLevel,</v>
      </c>
      <c r="E24" t="str">
        <f>"final " &amp; VLOOKUP(B24,Sheet2!$A$1:$B$4,2,FALSE) &amp; " " &amp; C24 &amp; ";"</f>
        <v>final int securityLevel;</v>
      </c>
      <c r="F24" s="6" t="str">
        <f t="shared" si="5"/>
        <v>SecurityLevel</v>
      </c>
      <c r="G24" s="6" t="str">
        <f t="shared" si="6"/>
        <v>colSecurityLevel</v>
      </c>
      <c r="H24" t="str">
        <f t="shared" si="7"/>
        <v>final String colSecurityLevel= 'securityLevel';</v>
      </c>
      <c r="I24" t="str">
        <f t="shared" si="8"/>
        <v>$colSecurityLevel INT,</v>
      </c>
      <c r="J24" t="str">
        <f t="shared" si="9"/>
        <v>ALTER TABLE ${eventsTableHelper.tableName} ADD COLUMN ${eventsTableHelper.colSecurityLevel} INT;</v>
      </c>
    </row>
    <row r="25" spans="1:10" x14ac:dyDescent="0.2">
      <c r="A25" s="1" t="s">
        <v>31</v>
      </c>
      <c r="B25" t="s">
        <v>5</v>
      </c>
      <c r="C25" t="str">
        <f t="shared" si="3"/>
        <v>riskFactor</v>
      </c>
      <c r="D25" t="str">
        <f t="shared" si="4"/>
        <v>this.riskFactor,</v>
      </c>
      <c r="E25" t="str">
        <f>"final " &amp; VLOOKUP(B25,Sheet2!$A$1:$B$4,2,FALSE) &amp; " " &amp; C25 &amp; ";"</f>
        <v>final num riskFactor;</v>
      </c>
      <c r="F25" s="6" t="str">
        <f t="shared" si="5"/>
        <v>RiskFactor</v>
      </c>
      <c r="G25" s="6" t="str">
        <f t="shared" si="6"/>
        <v>colRiskFactor</v>
      </c>
      <c r="H25" t="str">
        <f t="shared" si="7"/>
        <v>final String colRiskFactor= 'riskFactor';</v>
      </c>
      <c r="I25" t="str">
        <f t="shared" si="8"/>
        <v>$colRiskFactor NUM,</v>
      </c>
      <c r="J25" t="str">
        <f t="shared" si="9"/>
        <v>ALTER TABLE ${eventsTableHelper.tableName} ADD COLUMN ${eventsTableHelper.colRiskFactor} NUM;</v>
      </c>
    </row>
    <row r="26" spans="1:10" x14ac:dyDescent="0.2">
      <c r="A26" s="1" t="s">
        <v>32</v>
      </c>
      <c r="B26" t="s">
        <v>5</v>
      </c>
      <c r="C26" t="str">
        <f t="shared" si="3"/>
        <v>lat</v>
      </c>
      <c r="D26" t="str">
        <f t="shared" si="4"/>
        <v>this.lat,</v>
      </c>
      <c r="E26" t="str">
        <f>"final " &amp; VLOOKUP(B26,Sheet2!$A$1:$B$4,2,FALSE) &amp; " " &amp; C26 &amp; ";"</f>
        <v>final num lat;</v>
      </c>
      <c r="F26" s="6" t="str">
        <f t="shared" si="5"/>
        <v>Lat</v>
      </c>
      <c r="G26" s="6" t="str">
        <f t="shared" si="6"/>
        <v>colLat</v>
      </c>
      <c r="H26" t="str">
        <f t="shared" si="7"/>
        <v>final String colLat= 'lat';</v>
      </c>
      <c r="I26" t="str">
        <f t="shared" si="8"/>
        <v>$colLat NUM,</v>
      </c>
      <c r="J26" t="str">
        <f t="shared" si="9"/>
        <v>ALTER TABLE ${eventsTableHelper.tableName} ADD COLUMN ${eventsTableHelper.colLat} NUM;</v>
      </c>
    </row>
    <row r="27" spans="1:10" x14ac:dyDescent="0.2">
      <c r="A27" s="1" t="s">
        <v>33</v>
      </c>
      <c r="B27" t="s">
        <v>5</v>
      </c>
      <c r="C27" t="str">
        <f t="shared" si="3"/>
        <v>lon</v>
      </c>
      <c r="D27" t="str">
        <f t="shared" si="4"/>
        <v>this.lon,</v>
      </c>
      <c r="E27" t="str">
        <f>"final " &amp; VLOOKUP(B27,Sheet2!$A$1:$B$4,2,FALSE) &amp; " " &amp; C27 &amp; ";"</f>
        <v>final num lon;</v>
      </c>
      <c r="F27" s="6" t="str">
        <f t="shared" si="5"/>
        <v>Lon</v>
      </c>
      <c r="G27" s="6" t="str">
        <f t="shared" si="6"/>
        <v>colLon</v>
      </c>
      <c r="H27" t="str">
        <f t="shared" si="7"/>
        <v>final String colLon= 'lon';</v>
      </c>
      <c r="I27" t="str">
        <f t="shared" si="8"/>
        <v>$colLon NUM,</v>
      </c>
      <c r="J27" t="str">
        <f t="shared" si="9"/>
        <v>ALTER TABLE ${eventsTableHelper.tableName} ADD COLUMN ${eventsTableHelper.colLon} NUM;</v>
      </c>
    </row>
    <row r="28" spans="1:10" x14ac:dyDescent="0.2">
      <c r="A28" s="1" t="s">
        <v>34</v>
      </c>
      <c r="B28" t="s">
        <v>4</v>
      </c>
      <c r="C28" t="str">
        <f t="shared" si="3"/>
        <v>autoCheckOutTime</v>
      </c>
      <c r="D28" t="str">
        <f t="shared" si="4"/>
        <v>this.autoCheckOutTime,</v>
      </c>
      <c r="E28" t="str">
        <f>"final " &amp; VLOOKUP(B28,Sheet2!$A$1:$B$4,2,FALSE) &amp; " " &amp; C28 &amp; ";"</f>
        <v>final int autoCheckOutTime;</v>
      </c>
      <c r="F28" s="6" t="str">
        <f t="shared" si="5"/>
        <v>AutoCheckOutTime</v>
      </c>
      <c r="G28" s="6" t="str">
        <f t="shared" si="6"/>
        <v>colAutoCheckOutTime</v>
      </c>
      <c r="H28" t="str">
        <f t="shared" si="7"/>
        <v>final String colAutoCheckOutTime= 'autoCheckOutTime';</v>
      </c>
      <c r="I28" t="str">
        <f t="shared" si="8"/>
        <v>$colAutoCheckOutTime INT,</v>
      </c>
      <c r="J28" t="str">
        <f t="shared" si="9"/>
        <v>ALTER TABLE ${eventsTableHelper.tableName} ADD COLUMN ${eventsTableHelper.colAutoCheckOutTime} INT;</v>
      </c>
    </row>
    <row r="29" spans="1:10" x14ac:dyDescent="0.2">
      <c r="A29" s="1" t="s">
        <v>35</v>
      </c>
      <c r="B29" t="s">
        <v>4</v>
      </c>
      <c r="C29" t="str">
        <f t="shared" si="3"/>
        <v>safeToUse</v>
      </c>
      <c r="D29" t="str">
        <f t="shared" si="4"/>
        <v>this.safeToUse,</v>
      </c>
      <c r="E29" t="str">
        <f>"final " &amp; VLOOKUP(B29,Sheet2!$A$1:$B$4,2,FALSE) &amp; " " &amp; C29 &amp; ";"</f>
        <v>final int safeToUse;</v>
      </c>
      <c r="F29" s="6" t="str">
        <f t="shared" si="5"/>
        <v>SafeToUse</v>
      </c>
      <c r="G29" s="6" t="str">
        <f t="shared" si="6"/>
        <v>colSafeToUse</v>
      </c>
      <c r="H29" t="str">
        <f t="shared" si="7"/>
        <v>final String colSafeToUse= 'safeToUse';</v>
      </c>
      <c r="I29" t="str">
        <f t="shared" si="8"/>
        <v>$colSafeToUse INT,</v>
      </c>
      <c r="J29" t="str">
        <f t="shared" si="9"/>
        <v>ALTER TABLE ${eventsTableHelper.tableName} ADD COLUMN ${eventsTableHelper.colSafeToUse} INT;</v>
      </c>
    </row>
    <row r="30" spans="1:10" x14ac:dyDescent="0.2">
      <c r="A30" s="1" t="s">
        <v>36</v>
      </c>
      <c r="B30" t="s">
        <v>3</v>
      </c>
      <c r="C30" t="str">
        <f t="shared" si="3"/>
        <v>infectedOn</v>
      </c>
      <c r="D30" t="str">
        <f t="shared" si="4"/>
        <v>this.infectedOn,</v>
      </c>
      <c r="E30" t="str">
        <f>"final " &amp; VLOOKUP(B30,Sheet2!$A$1:$B$4,2,FALSE) &amp; " " &amp; C30 &amp; ";"</f>
        <v>final String infectedOn;</v>
      </c>
      <c r="F30" s="6" t="str">
        <f t="shared" si="5"/>
        <v>InfectedOn</v>
      </c>
      <c r="G30" s="6" t="str">
        <f t="shared" si="6"/>
        <v>colInfectedOn</v>
      </c>
      <c r="H30" t="str">
        <f t="shared" si="7"/>
        <v>final String colInfectedOn= 'infectedOn';</v>
      </c>
      <c r="I30" t="str">
        <f t="shared" si="8"/>
        <v>$colInfectedOn TEXT,</v>
      </c>
      <c r="J30" t="str">
        <f t="shared" si="9"/>
        <v>ALTER TABLE ${eventsTableHelper.tableName} ADD COLUMN ${eventsTableHelper.colInfectedOn} TEXT;</v>
      </c>
    </row>
    <row r="31" spans="1:10" x14ac:dyDescent="0.2">
      <c r="A31" s="1" t="s">
        <v>37</v>
      </c>
      <c r="B31" t="s">
        <v>4</v>
      </c>
      <c r="C31" t="str">
        <f t="shared" si="3"/>
        <v>infectionRiskLevel</v>
      </c>
      <c r="D31" t="str">
        <f t="shared" si="4"/>
        <v>this.infectionRiskLevel,</v>
      </c>
      <c r="E31" t="str">
        <f>"final " &amp; VLOOKUP(B31,Sheet2!$A$1:$B$4,2,FALSE) &amp; " " &amp; C31 &amp; ";"</f>
        <v>final int infectionRiskLevel;</v>
      </c>
      <c r="F31" s="6" t="str">
        <f t="shared" si="5"/>
        <v>InfectionRiskLevel</v>
      </c>
      <c r="G31" s="6" t="str">
        <f t="shared" si="6"/>
        <v>colInfectionRiskLevel</v>
      </c>
      <c r="H31" t="str">
        <f t="shared" si="7"/>
        <v>final String colInfectionRiskLevel= 'infectionRiskLevel';</v>
      </c>
      <c r="I31" t="str">
        <f t="shared" si="8"/>
        <v>$colInfectionRiskLevel INT,</v>
      </c>
      <c r="J31" t="str">
        <f t="shared" si="9"/>
        <v>ALTER TABLE ${eventsTableHelper.tableName} ADD COLUMN ${eventsTableHelper.colInfectionRiskLevel} INT;</v>
      </c>
    </row>
    <row r="32" spans="1:10" x14ac:dyDescent="0.2">
      <c r="A32" s="1" t="s">
        <v>38</v>
      </c>
      <c r="B32" t="s">
        <v>4</v>
      </c>
      <c r="C32" t="str">
        <f t="shared" si="3"/>
        <v>needsDisinfection</v>
      </c>
      <c r="D32" t="str">
        <f t="shared" si="4"/>
        <v>this.needsDisinfection,</v>
      </c>
      <c r="E32" t="str">
        <f>"final " &amp; VLOOKUP(B32,Sheet2!$A$1:$B$4,2,FALSE) &amp; " " &amp; C32 &amp; ";"</f>
        <v>final int needsDisinfection;</v>
      </c>
      <c r="F32" s="6" t="str">
        <f t="shared" si="5"/>
        <v>NeedsDisinfection</v>
      </c>
      <c r="G32" s="6" t="str">
        <f t="shared" si="6"/>
        <v>colNeedsDisinfection</v>
      </c>
      <c r="H32" t="str">
        <f t="shared" si="7"/>
        <v>final String colNeedsDisinfection= 'needsDisinfection';</v>
      </c>
      <c r="I32" t="str">
        <f t="shared" si="8"/>
        <v>$colNeedsDisinfection INT,</v>
      </c>
      <c r="J32" t="str">
        <f t="shared" si="9"/>
        <v>ALTER TABLE ${eventsTableHelper.tableName} ADD COLUMN ${eventsTableHelper.colNeedsDisinfection} INT;</v>
      </c>
    </row>
    <row r="33" spans="1:10" x14ac:dyDescent="0.2">
      <c r="A33" s="1" t="s">
        <v>39</v>
      </c>
      <c r="B33" t="s">
        <v>3</v>
      </c>
      <c r="C33" t="str">
        <f t="shared" si="3"/>
        <v>disinfectedBy</v>
      </c>
      <c r="D33" t="str">
        <f t="shared" si="4"/>
        <v>this.disinfectedBy,</v>
      </c>
      <c r="E33" t="str">
        <f>"final " &amp; VLOOKUP(B33,Sheet2!$A$1:$B$4,2,FALSE) &amp; " " &amp; C33 &amp; ";"</f>
        <v>final String disinfectedBy;</v>
      </c>
      <c r="F33" s="6" t="str">
        <f t="shared" si="5"/>
        <v>DisinfectedBy</v>
      </c>
      <c r="G33" s="6" t="str">
        <f t="shared" si="6"/>
        <v>colDisinfectedBy</v>
      </c>
      <c r="H33" t="str">
        <f t="shared" si="7"/>
        <v>final String colDisinfectedBy= 'disinfectedBy';</v>
      </c>
      <c r="I33" t="str">
        <f t="shared" si="8"/>
        <v>$colDisinfectedBy TEXT,</v>
      </c>
      <c r="J33" t="str">
        <f t="shared" si="9"/>
        <v>ALTER TABLE ${eventsTableHelper.tableName} ADD COLUMN ${eventsTableHelper.colDisinfectedBy} TEXT;</v>
      </c>
    </row>
    <row r="34" spans="1:10" x14ac:dyDescent="0.2">
      <c r="A34" s="1" t="s">
        <v>40</v>
      </c>
      <c r="B34" t="s">
        <v>3</v>
      </c>
      <c r="C34" t="str">
        <f t="shared" si="3"/>
        <v>disinfectedOn</v>
      </c>
      <c r="D34" t="str">
        <f t="shared" si="4"/>
        <v>this.disinfectedOn,</v>
      </c>
      <c r="E34" t="str">
        <f>"final " &amp; VLOOKUP(B34,Sheet2!$A$1:$B$4,2,FALSE) &amp; " " &amp; C34 &amp; ";"</f>
        <v>final String disinfectedOn;</v>
      </c>
      <c r="F34" s="6" t="str">
        <f t="shared" si="5"/>
        <v>DisinfectedOn</v>
      </c>
      <c r="G34" s="6" t="str">
        <f t="shared" si="6"/>
        <v>colDisinfectedOn</v>
      </c>
      <c r="H34" t="str">
        <f t="shared" si="7"/>
        <v>final String colDisinfectedOn= 'disinfectedOn';</v>
      </c>
      <c r="I34" t="str">
        <f t="shared" si="8"/>
        <v>$colDisinfectedOn TEXT,</v>
      </c>
      <c r="J34" t="str">
        <f t="shared" si="9"/>
        <v>ALTER TABLE ${eventsTableHelper.tableName} ADD COLUMN ${eventsTableHelper.colDisinfectedOn} TEXT;</v>
      </c>
    </row>
    <row r="35" spans="1:10" x14ac:dyDescent="0.2">
      <c r="A35" s="1" t="s">
        <v>24</v>
      </c>
      <c r="B35" t="s">
        <v>4</v>
      </c>
      <c r="C35" t="str">
        <f t="shared" si="3"/>
        <v>isActive</v>
      </c>
      <c r="D35" t="str">
        <f t="shared" si="4"/>
        <v>this.isActive,</v>
      </c>
      <c r="E35" t="str">
        <f>"final " &amp; VLOOKUP(B35,Sheet2!$A$1:$B$4,2,FALSE) &amp; " " &amp; C35 &amp; ";"</f>
        <v>final int isActive;</v>
      </c>
      <c r="F35" s="6" t="str">
        <f t="shared" si="5"/>
        <v>IsActive</v>
      </c>
      <c r="G35" s="6" t="str">
        <f t="shared" si="6"/>
        <v>colIsActive</v>
      </c>
      <c r="H35" t="str">
        <f t="shared" si="7"/>
        <v>final String colIsActive= 'isActive';</v>
      </c>
      <c r="I35" t="str">
        <f t="shared" si="8"/>
        <v>$colIsActive INT,</v>
      </c>
      <c r="J35" t="str">
        <f t="shared" si="9"/>
        <v>ALTER TABLE ${eventsTableHelper.tableName} ADD COLUMN ${eventsTableHelper.colIsActive} INT;</v>
      </c>
    </row>
    <row r="36" spans="1:10" x14ac:dyDescent="0.2">
      <c r="C36" t="str">
        <f t="shared" si="3"/>
        <v/>
      </c>
      <c r="D36" t="str">
        <f t="shared" si="4"/>
        <v>this.,</v>
      </c>
      <c r="E36" t="e">
        <f>"final " &amp; VLOOKUP(B36,Sheet2!$A$1:$B$4,2,FALSE) &amp; " " &amp; C36 &amp; ";"</f>
        <v>#N/A</v>
      </c>
      <c r="F36" s="6" t="str">
        <f t="shared" si="5"/>
        <v/>
      </c>
      <c r="G36" s="6" t="str">
        <f t="shared" si="6"/>
        <v>col</v>
      </c>
      <c r="H36" t="str">
        <f t="shared" si="7"/>
        <v>final String col= '';</v>
      </c>
      <c r="I36" t="str">
        <f t="shared" si="8"/>
        <v>$col ,</v>
      </c>
      <c r="J36" t="str">
        <f t="shared" si="9"/>
        <v>ALTER TABLE ${eventsTableHelper.tableName} ADD COLUMN ${eventsTableHelper.col} ;</v>
      </c>
    </row>
    <row r="37" spans="1:10" x14ac:dyDescent="0.2">
      <c r="A37" s="1" t="s">
        <v>41</v>
      </c>
      <c r="B37" t="s">
        <v>3</v>
      </c>
      <c r="C37" t="str">
        <f t="shared" si="3"/>
        <v>tenantId</v>
      </c>
      <c r="D37" t="str">
        <f t="shared" si="4"/>
        <v>this.tenantId,</v>
      </c>
      <c r="E37" t="str">
        <f>"final " &amp; VLOOKUP(B37,Sheet2!$A$1:$B$4,2,FALSE) &amp; " " &amp; C37 &amp; ";"</f>
        <v>final String tenantId;</v>
      </c>
      <c r="F37" s="6" t="str">
        <f t="shared" si="5"/>
        <v>TenantId</v>
      </c>
      <c r="G37" s="6" t="str">
        <f t="shared" si="6"/>
        <v>colTenantId</v>
      </c>
      <c r="H37" t="str">
        <f t="shared" si="7"/>
        <v>final String colTenantId= 'tenantId';</v>
      </c>
      <c r="I37" t="str">
        <f t="shared" si="8"/>
        <v>$colTenantId TEXT,</v>
      </c>
      <c r="J37" t="str">
        <f t="shared" si="9"/>
        <v>ALTER TABLE ${eventsTableHelper.tableName} ADD COLUMN ${eventsTableHelper.colTenantId} TEXT;</v>
      </c>
    </row>
    <row r="38" spans="1:10" x14ac:dyDescent="0.2">
      <c r="A38" s="1" t="s">
        <v>55</v>
      </c>
      <c r="B38" t="s">
        <v>3</v>
      </c>
      <c r="C38" t="str">
        <f t="shared" si="3"/>
        <v>tapPointId</v>
      </c>
      <c r="D38" t="str">
        <f t="shared" si="4"/>
        <v>this.tapPointId,</v>
      </c>
      <c r="E38" t="str">
        <f>"final " &amp; VLOOKUP(B38,Sheet2!$A$1:$B$4,2,FALSE) &amp; " " &amp; C38 &amp; ";"</f>
        <v>final String tapPointId;</v>
      </c>
      <c r="F38" s="6" t="str">
        <f t="shared" si="5"/>
        <v>TapPointId</v>
      </c>
      <c r="G38" s="6" t="str">
        <f t="shared" si="6"/>
        <v>colTapPointId</v>
      </c>
      <c r="H38" t="str">
        <f t="shared" si="7"/>
        <v>final String colTapPointId= 'tapPointId';</v>
      </c>
      <c r="I38" t="str">
        <f t="shared" si="8"/>
        <v>$colTapPointId TEXT,</v>
      </c>
      <c r="J38" t="str">
        <f t="shared" si="9"/>
        <v>ALTER TABLE ${eventsTableHelper.tableName} ADD COLUMN ${eventsTableHelper.colTapPointId} TEXT;</v>
      </c>
    </row>
    <row r="39" spans="1:10" x14ac:dyDescent="0.2">
      <c r="A39" s="1" t="s">
        <v>25</v>
      </c>
      <c r="B39" t="s">
        <v>3</v>
      </c>
      <c r="C39" t="str">
        <f t="shared" si="3"/>
        <v>roomId</v>
      </c>
      <c r="D39" t="str">
        <f t="shared" si="4"/>
        <v>this.roomId,</v>
      </c>
      <c r="E39" t="str">
        <f>"final " &amp; VLOOKUP(B39,Sheet2!$A$1:$B$4,2,FALSE) &amp; " " &amp; C39 &amp; ";"</f>
        <v>final String roomId;</v>
      </c>
      <c r="F39" s="6" t="str">
        <f t="shared" si="5"/>
        <v>RoomId</v>
      </c>
      <c r="G39" s="6" t="str">
        <f t="shared" si="6"/>
        <v>colRoomId</v>
      </c>
      <c r="H39" t="str">
        <f t="shared" si="7"/>
        <v>final String colRoomId= 'roomId';</v>
      </c>
      <c r="I39" t="str">
        <f t="shared" si="8"/>
        <v>$colRoomId TEXT,</v>
      </c>
      <c r="J39" t="str">
        <f t="shared" si="9"/>
        <v>ALTER TABLE ${eventsTableHelper.tableName} ADD COLUMN ${eventsTableHelper.colRoomId} TEXT;</v>
      </c>
    </row>
    <row r="40" spans="1:10" x14ac:dyDescent="0.2">
      <c r="A40" s="1" t="s">
        <v>42</v>
      </c>
      <c r="B40" t="s">
        <v>3</v>
      </c>
      <c r="C40" t="str">
        <f t="shared" si="3"/>
        <v>pointName</v>
      </c>
      <c r="D40" t="str">
        <f t="shared" si="4"/>
        <v>this.pointName,</v>
      </c>
      <c r="E40" t="str">
        <f>"final " &amp; VLOOKUP(B40,Sheet2!$A$1:$B$4,2,FALSE) &amp; " " &amp; C40 &amp; ";"</f>
        <v>final String pointName;</v>
      </c>
      <c r="F40" s="6" t="str">
        <f t="shared" si="5"/>
        <v>PointName</v>
      </c>
      <c r="G40" s="6" t="str">
        <f t="shared" si="6"/>
        <v>colPointName</v>
      </c>
      <c r="H40" t="str">
        <f t="shared" si="7"/>
        <v>final String colPointName= 'pointName';</v>
      </c>
      <c r="I40" t="str">
        <f t="shared" si="8"/>
        <v>$colPointName TEXT,</v>
      </c>
      <c r="J40" t="str">
        <f t="shared" si="9"/>
        <v>ALTER TABLE ${eventsTableHelper.tableName} ADD COLUMN ${eventsTableHelper.colPointName} TEXT;</v>
      </c>
    </row>
    <row r="41" spans="1:10" x14ac:dyDescent="0.2">
      <c r="A41" s="1" t="s">
        <v>27</v>
      </c>
      <c r="B41" t="s">
        <v>3</v>
      </c>
      <c r="C41" t="str">
        <f t="shared" si="3"/>
        <v>qrCode</v>
      </c>
      <c r="D41" t="str">
        <f t="shared" si="4"/>
        <v>this.qrCode,</v>
      </c>
      <c r="E41" t="str">
        <f>"final " &amp; VLOOKUP(B41,Sheet2!$A$1:$B$4,2,FALSE) &amp; " " &amp; C41 &amp; ";"</f>
        <v>final String qrCode;</v>
      </c>
      <c r="F41" s="6" t="str">
        <f t="shared" si="5"/>
        <v>QrCode</v>
      </c>
      <c r="G41" s="6" t="str">
        <f t="shared" si="6"/>
        <v>colQrCode</v>
      </c>
      <c r="H41" t="str">
        <f t="shared" si="7"/>
        <v>final String colQrCode= 'qrCode';</v>
      </c>
      <c r="I41" t="str">
        <f t="shared" si="8"/>
        <v>$colQrCode TEXT,</v>
      </c>
      <c r="J41" t="str">
        <f t="shared" si="9"/>
        <v>ALTER TABLE ${eventsTableHelper.tableName} ADD COLUMN ${eventsTableHelper.colQrCode} TEXT;</v>
      </c>
    </row>
    <row r="42" spans="1:10" x14ac:dyDescent="0.2">
      <c r="A42" s="1" t="s">
        <v>43</v>
      </c>
      <c r="B42" t="s">
        <v>3</v>
      </c>
      <c r="C42" t="str">
        <f t="shared" si="3"/>
        <v>nfcSerial</v>
      </c>
      <c r="D42" t="str">
        <f t="shared" si="4"/>
        <v>this.nfcSerial,</v>
      </c>
      <c r="E42" t="str">
        <f>"final " &amp; VLOOKUP(B42,Sheet2!$A$1:$B$4,2,FALSE) &amp; " " &amp; C42 &amp; ";"</f>
        <v>final String nfcSerial;</v>
      </c>
      <c r="F42" s="6" t="str">
        <f t="shared" si="5"/>
        <v>NfcSerial</v>
      </c>
      <c r="G42" s="6" t="str">
        <f t="shared" si="6"/>
        <v>colNfcSerial</v>
      </c>
      <c r="H42" t="str">
        <f t="shared" si="7"/>
        <v>final String colNfcSerial= 'nfcSerial';</v>
      </c>
      <c r="I42" t="str">
        <f t="shared" si="8"/>
        <v>$colNfcSerial TEXT,</v>
      </c>
      <c r="J42" t="str">
        <f t="shared" si="9"/>
        <v>ALTER TABLE ${eventsTableHelper.tableName} ADD COLUMN ${eventsTableHelper.colNfcSerial} TEXT;</v>
      </c>
    </row>
    <row r="43" spans="1:10" x14ac:dyDescent="0.2">
      <c r="A43" s="1" t="s">
        <v>44</v>
      </c>
      <c r="B43" t="s">
        <v>4</v>
      </c>
      <c r="C43" t="str">
        <f t="shared" si="3"/>
        <v>pointType</v>
      </c>
      <c r="D43" t="str">
        <f t="shared" si="4"/>
        <v>this.pointType,</v>
      </c>
      <c r="E43" t="str">
        <f>"final " &amp; VLOOKUP(B43,Sheet2!$A$1:$B$4,2,FALSE) &amp; " " &amp; C43 &amp; ";"</f>
        <v>final int pointType;</v>
      </c>
      <c r="F43" s="6" t="str">
        <f t="shared" si="5"/>
        <v>PointType</v>
      </c>
      <c r="G43" s="6" t="str">
        <f t="shared" si="6"/>
        <v>colPointType</v>
      </c>
      <c r="H43" t="str">
        <f t="shared" si="7"/>
        <v>final String colPointType= 'pointType';</v>
      </c>
      <c r="I43" t="str">
        <f t="shared" si="8"/>
        <v>$colPointType INT,</v>
      </c>
      <c r="J43" t="str">
        <f t="shared" si="9"/>
        <v>ALTER TABLE ${eventsTableHelper.tableName} ADD COLUMN ${eventsTableHelper.colPointType} INT;</v>
      </c>
    </row>
    <row r="44" spans="1:10" x14ac:dyDescent="0.2">
      <c r="A44" s="1" t="s">
        <v>45</v>
      </c>
      <c r="B44" t="s">
        <v>4</v>
      </c>
      <c r="C44" t="str">
        <f t="shared" si="3"/>
        <v>checkInOutType</v>
      </c>
      <c r="D44" t="str">
        <f t="shared" si="4"/>
        <v>this.checkInOutType,</v>
      </c>
      <c r="E44" t="str">
        <f>"final " &amp; VLOOKUP(B44,Sheet2!$A$1:$B$4,2,FALSE) &amp; " " &amp; C44 &amp; ";"</f>
        <v>final int checkInOutType;</v>
      </c>
      <c r="F44" s="6" t="str">
        <f t="shared" si="5"/>
        <v>CheckInOutType</v>
      </c>
      <c r="G44" s="6" t="str">
        <f t="shared" si="6"/>
        <v>colCheckInOutType</v>
      </c>
      <c r="H44" t="str">
        <f t="shared" si="7"/>
        <v>final String colCheckInOutType= 'checkInOutType';</v>
      </c>
      <c r="I44" t="str">
        <f t="shared" si="8"/>
        <v>$colCheckInOutType INT,</v>
      </c>
      <c r="J44" t="str">
        <f t="shared" si="9"/>
        <v>ALTER TABLE ${eventsTableHelper.tableName} ADD COLUMN ${eventsTableHelper.colCheckInOutType} INT;</v>
      </c>
    </row>
    <row r="45" spans="1:10" x14ac:dyDescent="0.2">
      <c r="A45" s="1" t="s">
        <v>31</v>
      </c>
      <c r="B45" t="s">
        <v>5</v>
      </c>
      <c r="C45" t="str">
        <f t="shared" si="3"/>
        <v>riskFactor</v>
      </c>
      <c r="D45" t="str">
        <f t="shared" si="4"/>
        <v>this.riskFactor,</v>
      </c>
      <c r="E45" t="str">
        <f>"final " &amp; VLOOKUP(B45,Sheet2!$A$1:$B$4,2,FALSE) &amp; " " &amp; C45 &amp; ";"</f>
        <v>final num riskFactor;</v>
      </c>
      <c r="F45" s="6" t="str">
        <f t="shared" si="5"/>
        <v>RiskFactor</v>
      </c>
      <c r="G45" s="6" t="str">
        <f t="shared" si="6"/>
        <v>colRiskFactor</v>
      </c>
      <c r="H45" t="str">
        <f t="shared" si="7"/>
        <v>final String colRiskFactor= 'riskFactor';</v>
      </c>
      <c r="I45" t="str">
        <f t="shared" si="8"/>
        <v>$colRiskFactor NUM,</v>
      </c>
      <c r="J45" t="str">
        <f t="shared" si="9"/>
        <v>ALTER TABLE ${eventsTableHelper.tableName} ADD COLUMN ${eventsTableHelper.colRiskFactor} NUM;</v>
      </c>
    </row>
    <row r="46" spans="1:10" x14ac:dyDescent="0.2">
      <c r="A46" s="1" t="s">
        <v>32</v>
      </c>
      <c r="B46" t="s">
        <v>5</v>
      </c>
      <c r="C46" t="str">
        <f t="shared" si="3"/>
        <v>lat</v>
      </c>
      <c r="D46" t="str">
        <f t="shared" si="4"/>
        <v>this.lat,</v>
      </c>
      <c r="E46" t="str">
        <f>"final " &amp; VLOOKUP(B46,Sheet2!$A$1:$B$4,2,FALSE) &amp; " " &amp; C46 &amp; ";"</f>
        <v>final num lat;</v>
      </c>
      <c r="F46" s="6" t="str">
        <f t="shared" si="5"/>
        <v>Lat</v>
      </c>
      <c r="G46" s="6" t="str">
        <f t="shared" si="6"/>
        <v>colLat</v>
      </c>
      <c r="H46" t="str">
        <f t="shared" si="7"/>
        <v>final String colLat= 'lat';</v>
      </c>
      <c r="I46" t="str">
        <f t="shared" si="8"/>
        <v>$colLat NUM,</v>
      </c>
      <c r="J46" t="str">
        <f t="shared" si="9"/>
        <v>ALTER TABLE ${eventsTableHelper.tableName} ADD COLUMN ${eventsTableHelper.colLat} NUM;</v>
      </c>
    </row>
    <row r="47" spans="1:10" x14ac:dyDescent="0.2">
      <c r="A47" s="1" t="s">
        <v>33</v>
      </c>
      <c r="B47" t="s">
        <v>5</v>
      </c>
      <c r="C47" t="str">
        <f t="shared" si="3"/>
        <v>lon</v>
      </c>
      <c r="D47" t="str">
        <f t="shared" si="4"/>
        <v>this.lon,</v>
      </c>
      <c r="E47" t="str">
        <f>"final " &amp; VLOOKUP(B47,Sheet2!$A$1:$B$4,2,FALSE) &amp; " " &amp; C47 &amp; ";"</f>
        <v>final num lon;</v>
      </c>
      <c r="F47" s="6" t="str">
        <f t="shared" si="5"/>
        <v>Lon</v>
      </c>
      <c r="G47" s="6" t="str">
        <f t="shared" si="6"/>
        <v>colLon</v>
      </c>
      <c r="H47" t="str">
        <f t="shared" si="7"/>
        <v>final String colLon= 'lon';</v>
      </c>
      <c r="I47" t="str">
        <f t="shared" si="8"/>
        <v>$colLon NUM,</v>
      </c>
      <c r="J47" t="str">
        <f t="shared" si="9"/>
        <v>ALTER TABLE ${eventsTableHelper.tableName} ADD COLUMN ${eventsTableHelper.colLon} NUM;</v>
      </c>
    </row>
    <row r="48" spans="1:10" x14ac:dyDescent="0.2">
      <c r="A48" s="1" t="s">
        <v>46</v>
      </c>
      <c r="B48" t="s">
        <v>4</v>
      </c>
      <c r="C48" t="str">
        <f t="shared" si="3"/>
        <v>autoCheckoutTime</v>
      </c>
      <c r="D48" t="str">
        <f t="shared" si="4"/>
        <v>this.autoCheckoutTime,</v>
      </c>
      <c r="E48" t="str">
        <f>"final " &amp; VLOOKUP(B48,Sheet2!$A$1:$B$4,2,FALSE) &amp; " " &amp; C48 &amp; ";"</f>
        <v>final int autoCheckoutTime;</v>
      </c>
      <c r="F48" s="6" t="str">
        <f t="shared" si="5"/>
        <v>AutoCheckoutTime</v>
      </c>
      <c r="G48" s="6" t="str">
        <f t="shared" si="6"/>
        <v>colAutoCheckoutTime</v>
      </c>
      <c r="H48" t="str">
        <f t="shared" si="7"/>
        <v>final String colAutoCheckoutTime= 'autoCheckoutTime';</v>
      </c>
      <c r="I48" t="str">
        <f t="shared" si="8"/>
        <v>$colAutoCheckoutTime INT,</v>
      </c>
      <c r="J48" t="str">
        <f t="shared" si="9"/>
        <v>ALTER TABLE ${eventsTableHelper.tableName} ADD COLUMN ${eventsTableHelper.colAutoCheckoutTime} INT;</v>
      </c>
    </row>
    <row r="49" spans="1:10" x14ac:dyDescent="0.2">
      <c r="A49" s="1" t="s">
        <v>35</v>
      </c>
      <c r="B49" t="s">
        <v>4</v>
      </c>
      <c r="C49" t="str">
        <f t="shared" si="3"/>
        <v>safeToUse</v>
      </c>
      <c r="D49" t="str">
        <f t="shared" si="4"/>
        <v>this.safeToUse,</v>
      </c>
      <c r="E49" t="str">
        <f>"final " &amp; VLOOKUP(B49,Sheet2!$A$1:$B$4,2,FALSE) &amp; " " &amp; C49 &amp; ";"</f>
        <v>final int safeToUse;</v>
      </c>
      <c r="F49" s="6" t="str">
        <f t="shared" si="5"/>
        <v>SafeToUse</v>
      </c>
      <c r="G49" s="6" t="str">
        <f t="shared" si="6"/>
        <v>colSafeToUse</v>
      </c>
      <c r="H49" t="str">
        <f t="shared" si="7"/>
        <v>final String colSafeToUse= 'safeToUse';</v>
      </c>
      <c r="I49" t="str">
        <f t="shared" si="8"/>
        <v>$colSafeToUse INT,</v>
      </c>
      <c r="J49" t="str">
        <f t="shared" si="9"/>
        <v>ALTER TABLE ${eventsTableHelper.tableName} ADD COLUMN ${eventsTableHelper.colSafeToUse} INT;</v>
      </c>
    </row>
    <row r="50" spans="1:10" x14ac:dyDescent="0.2">
      <c r="A50" s="1" t="s">
        <v>37</v>
      </c>
      <c r="B50" t="s">
        <v>4</v>
      </c>
      <c r="C50" t="str">
        <f t="shared" si="3"/>
        <v>infectionRiskLevel</v>
      </c>
      <c r="D50" t="str">
        <f t="shared" si="4"/>
        <v>this.infectionRiskLevel,</v>
      </c>
      <c r="E50" t="str">
        <f>"final " &amp; VLOOKUP(B50,Sheet2!$A$1:$B$4,2,FALSE) &amp; " " &amp; C50 &amp; ";"</f>
        <v>final int infectionRiskLevel;</v>
      </c>
      <c r="F50" s="6" t="str">
        <f t="shared" si="5"/>
        <v>InfectionRiskLevel</v>
      </c>
      <c r="G50" s="6" t="str">
        <f t="shared" si="6"/>
        <v>colInfectionRiskLevel</v>
      </c>
      <c r="H50" t="str">
        <f t="shared" si="7"/>
        <v>final String colInfectionRiskLevel= 'infectionRiskLevel';</v>
      </c>
      <c r="I50" t="str">
        <f t="shared" si="8"/>
        <v>$colInfectionRiskLevel INT,</v>
      </c>
      <c r="J50" t="str">
        <f t="shared" si="9"/>
        <v>ALTER TABLE ${eventsTableHelper.tableName} ADD COLUMN ${eventsTableHelper.colInfectionRiskLevel} INT;</v>
      </c>
    </row>
    <row r="51" spans="1:10" x14ac:dyDescent="0.2">
      <c r="A51" s="1" t="s">
        <v>36</v>
      </c>
      <c r="B51" t="s">
        <v>3</v>
      </c>
      <c r="C51" t="str">
        <f t="shared" si="3"/>
        <v>infectedOn</v>
      </c>
      <c r="D51" t="str">
        <f t="shared" si="4"/>
        <v>this.infectedOn,</v>
      </c>
      <c r="E51" t="str">
        <f>"final " &amp; VLOOKUP(B51,Sheet2!$A$1:$B$4,2,FALSE) &amp; " " &amp; C51 &amp; ";"</f>
        <v>final String infectedOn;</v>
      </c>
      <c r="F51" s="6" t="str">
        <f t="shared" si="5"/>
        <v>InfectedOn</v>
      </c>
      <c r="G51" s="6" t="str">
        <f t="shared" si="6"/>
        <v>colInfectedOn</v>
      </c>
      <c r="H51" t="str">
        <f t="shared" si="7"/>
        <v>final String colInfectedOn= 'infectedOn';</v>
      </c>
      <c r="I51" t="str">
        <f t="shared" si="8"/>
        <v>$colInfectedOn TEXT,</v>
      </c>
      <c r="J51" t="str">
        <f t="shared" si="9"/>
        <v>ALTER TABLE ${eventsTableHelper.tableName} ADD COLUMN ${eventsTableHelper.colInfectedOn} TEXT;</v>
      </c>
    </row>
    <row r="52" spans="1:10" x14ac:dyDescent="0.2">
      <c r="A52" s="1" t="s">
        <v>38</v>
      </c>
      <c r="B52" t="s">
        <v>4</v>
      </c>
      <c r="C52" t="str">
        <f t="shared" si="3"/>
        <v>needsDisinfection</v>
      </c>
      <c r="D52" t="str">
        <f t="shared" si="4"/>
        <v>this.needsDisinfection,</v>
      </c>
      <c r="E52" t="str">
        <f>"final " &amp; VLOOKUP(B52,Sheet2!$A$1:$B$4,2,FALSE) &amp; " " &amp; C52 &amp; ";"</f>
        <v>final int needsDisinfection;</v>
      </c>
      <c r="F52" s="6" t="str">
        <f t="shared" si="5"/>
        <v>NeedsDisinfection</v>
      </c>
      <c r="G52" s="6" t="str">
        <f t="shared" si="6"/>
        <v>colNeedsDisinfection</v>
      </c>
      <c r="H52" t="str">
        <f t="shared" si="7"/>
        <v>final String colNeedsDisinfection= 'needsDisinfection';</v>
      </c>
      <c r="I52" t="str">
        <f t="shared" si="8"/>
        <v>$colNeedsDisinfection INT,</v>
      </c>
      <c r="J52" t="str">
        <f t="shared" si="9"/>
        <v>ALTER TABLE ${eventsTableHelper.tableName} ADD COLUMN ${eventsTableHelper.colNeedsDisinfection} INT;</v>
      </c>
    </row>
    <row r="53" spans="1:10" x14ac:dyDescent="0.2">
      <c r="A53" s="1" t="s">
        <v>39</v>
      </c>
      <c r="B53" t="s">
        <v>3</v>
      </c>
      <c r="C53" t="str">
        <f t="shared" si="3"/>
        <v>disinfectedBy</v>
      </c>
      <c r="D53" t="str">
        <f t="shared" si="4"/>
        <v>this.disinfectedBy,</v>
      </c>
      <c r="E53" t="str">
        <f>"final " &amp; VLOOKUP(B53,Sheet2!$A$1:$B$4,2,FALSE) &amp; " " &amp; C53 &amp; ";"</f>
        <v>final String disinfectedBy;</v>
      </c>
      <c r="F53" s="6" t="str">
        <f t="shared" si="5"/>
        <v>DisinfectedBy</v>
      </c>
      <c r="G53" s="6" t="str">
        <f t="shared" si="6"/>
        <v>colDisinfectedBy</v>
      </c>
      <c r="H53" t="str">
        <f t="shared" si="7"/>
        <v>final String colDisinfectedBy= 'disinfectedBy';</v>
      </c>
      <c r="I53" t="str">
        <f t="shared" si="8"/>
        <v>$colDisinfectedBy TEXT,</v>
      </c>
      <c r="J53" t="str">
        <f t="shared" si="9"/>
        <v>ALTER TABLE ${eventsTableHelper.tableName} ADD COLUMN ${eventsTableHelper.colDisinfectedBy} TEXT;</v>
      </c>
    </row>
    <row r="54" spans="1:10" x14ac:dyDescent="0.2">
      <c r="A54" s="1" t="s">
        <v>40</v>
      </c>
      <c r="B54" t="s">
        <v>3</v>
      </c>
      <c r="C54" t="str">
        <f t="shared" si="3"/>
        <v>disinfectedOn</v>
      </c>
      <c r="D54" t="str">
        <f t="shared" si="4"/>
        <v>this.disinfectedOn,</v>
      </c>
      <c r="E54" t="str">
        <f>"final " &amp; VLOOKUP(B54,Sheet2!$A$1:$B$4,2,FALSE) &amp; " " &amp; C54 &amp; ";"</f>
        <v>final String disinfectedOn;</v>
      </c>
      <c r="F54" s="6" t="str">
        <f t="shared" si="5"/>
        <v>DisinfectedOn</v>
      </c>
      <c r="G54" s="6" t="str">
        <f t="shared" si="6"/>
        <v>colDisinfectedOn</v>
      </c>
      <c r="H54" t="str">
        <f t="shared" si="7"/>
        <v>final String colDisinfectedOn= 'disinfectedOn';</v>
      </c>
      <c r="I54" t="str">
        <f t="shared" si="8"/>
        <v>$colDisinfectedOn TEXT,</v>
      </c>
      <c r="J54" t="str">
        <f t="shared" si="9"/>
        <v>ALTER TABLE ${eventsTableHelper.tableName} ADD COLUMN ${eventsTableHelper.colDisinfectedOn} TEXT;</v>
      </c>
    </row>
    <row r="55" spans="1:10" x14ac:dyDescent="0.2">
      <c r="A55" s="1" t="s">
        <v>47</v>
      </c>
      <c r="B55" t="s">
        <v>3</v>
      </c>
      <c r="C55" t="str">
        <f t="shared" si="3"/>
        <v>pointUserOwner</v>
      </c>
      <c r="D55" t="str">
        <f t="shared" si="4"/>
        <v>this.pointUserOwner,</v>
      </c>
      <c r="E55" t="str">
        <f>"final " &amp; VLOOKUP(B55,Sheet2!$A$1:$B$4,2,FALSE) &amp; " " &amp; C55 &amp; ";"</f>
        <v>final String pointUserOwner;</v>
      </c>
      <c r="F55" s="6" t="str">
        <f t="shared" si="5"/>
        <v>PointUserOwner</v>
      </c>
      <c r="G55" s="6" t="str">
        <f t="shared" si="6"/>
        <v>colPointUserOwner</v>
      </c>
      <c r="H55" t="str">
        <f t="shared" si="7"/>
        <v>final String colPointUserOwner= 'pointUserOwner';</v>
      </c>
      <c r="I55" t="str">
        <f t="shared" si="8"/>
        <v>$colPointUserOwner TEXT,</v>
      </c>
      <c r="J55" t="str">
        <f t="shared" si="9"/>
        <v>ALTER TABLE ${eventsTableHelper.tableName} ADD COLUMN ${eventsTableHelper.colPointUserOwner} TEXT;</v>
      </c>
    </row>
    <row r="56" spans="1:10" x14ac:dyDescent="0.2">
      <c r="A56" s="1" t="s">
        <v>48</v>
      </c>
      <c r="B56" t="s">
        <v>3</v>
      </c>
      <c r="C56" t="str">
        <f t="shared" si="3"/>
        <v>clientPointId</v>
      </c>
      <c r="D56" t="str">
        <f t="shared" si="4"/>
        <v>this.clientPointId,</v>
      </c>
      <c r="E56" t="str">
        <f>"final " &amp; VLOOKUP(B56,Sheet2!$A$1:$B$4,2,FALSE) &amp; " " &amp; C56 &amp; ";"</f>
        <v>final String clientPointId;</v>
      </c>
      <c r="F56" s="6" t="str">
        <f t="shared" si="5"/>
        <v>ClientPointId</v>
      </c>
      <c r="G56" s="6" t="str">
        <f t="shared" si="6"/>
        <v>colClientPointId</v>
      </c>
      <c r="H56" t="str">
        <f t="shared" si="7"/>
        <v>final String colClientPointId= 'clientPointId';</v>
      </c>
      <c r="I56" t="str">
        <f t="shared" si="8"/>
        <v>$colClientPointId TEXT,</v>
      </c>
      <c r="J56" t="str">
        <f t="shared" si="9"/>
        <v>ALTER TABLE ${eventsTableHelper.tableName} ADD COLUMN ${eventsTableHelper.colClientPointId} TEXT;</v>
      </c>
    </row>
    <row r="57" spans="1:10" x14ac:dyDescent="0.2">
      <c r="A57" s="1" t="s">
        <v>24</v>
      </c>
      <c r="B57" t="s">
        <v>4</v>
      </c>
      <c r="C57" t="str">
        <f t="shared" si="3"/>
        <v>isActive</v>
      </c>
      <c r="D57" t="str">
        <f t="shared" si="4"/>
        <v>this.isActive,</v>
      </c>
      <c r="E57" t="str">
        <f>"final " &amp; VLOOKUP(B57,Sheet2!$A$1:$B$4,2,FALSE) &amp; " " &amp; C57 &amp; ";"</f>
        <v>final int isActive;</v>
      </c>
      <c r="F57" s="6" t="str">
        <f t="shared" si="5"/>
        <v>IsActive</v>
      </c>
      <c r="G57" s="6" t="str">
        <f t="shared" si="6"/>
        <v>colIsActive</v>
      </c>
      <c r="H57" t="str">
        <f t="shared" si="7"/>
        <v>final String colIsActive= 'isActive';</v>
      </c>
      <c r="I57" t="str">
        <f t="shared" si="8"/>
        <v>$colIsActive INT,</v>
      </c>
      <c r="J57" t="str">
        <f t="shared" si="9"/>
        <v>ALTER TABLE ${eventsTableHelper.tableName} ADD COLUMN ${eventsTableHelper.colIsActive} INT;</v>
      </c>
    </row>
    <row r="58" spans="1:10" x14ac:dyDescent="0.2">
      <c r="B58" t="s">
        <v>54</v>
      </c>
      <c r="C58" t="str">
        <f t="shared" si="3"/>
        <v/>
      </c>
      <c r="D58" t="str">
        <f t="shared" si="4"/>
        <v>this.,</v>
      </c>
      <c r="E58" t="e">
        <f>"final " &amp; VLOOKUP(B58,Sheet2!$A$1:$B$4,2,FALSE) &amp; " " &amp; C58 &amp; ";"</f>
        <v>#N/A</v>
      </c>
      <c r="F58" s="6" t="str">
        <f t="shared" si="5"/>
        <v/>
      </c>
      <c r="G58" s="6" t="str">
        <f t="shared" si="6"/>
        <v>col</v>
      </c>
      <c r="H58" t="str">
        <f t="shared" si="7"/>
        <v>final String col= '';</v>
      </c>
      <c r="I58" t="str">
        <f t="shared" si="8"/>
        <v>$col  ,</v>
      </c>
      <c r="J58" t="str">
        <f t="shared" si="9"/>
        <v>ALTER TABLE ${eventsTableHelper.tableName} ADD COLUMN ${eventsTableHelper.col}  ;</v>
      </c>
    </row>
    <row r="59" spans="1:10" x14ac:dyDescent="0.2">
      <c r="A59" s="1" t="s">
        <v>41</v>
      </c>
      <c r="B59" t="s">
        <v>3</v>
      </c>
      <c r="C59" t="str">
        <f t="shared" si="3"/>
        <v>tenantId</v>
      </c>
      <c r="D59" t="str">
        <f t="shared" si="4"/>
        <v>this.tenantId,</v>
      </c>
      <c r="E59" t="str">
        <f>"final " &amp; VLOOKUP(B59,Sheet2!$A$1:$B$4,2,FALSE) &amp; " " &amp; C59 &amp; ";"</f>
        <v>final String tenantId;</v>
      </c>
      <c r="F59" s="6" t="str">
        <f t="shared" si="5"/>
        <v>TenantId</v>
      </c>
      <c r="G59" s="6" t="str">
        <f t="shared" si="6"/>
        <v>colTenantId</v>
      </c>
      <c r="H59" t="str">
        <f t="shared" si="7"/>
        <v>final String colTenantId= 'tenantId';</v>
      </c>
      <c r="I59" t="str">
        <f t="shared" si="8"/>
        <v>$colTenantId TEXT,</v>
      </c>
      <c r="J59" t="str">
        <f t="shared" si="9"/>
        <v>ALTER TABLE ${eventsTableHelper.tableName} ADD COLUMN ${eventsTableHelper.colTenantId} TEXT;</v>
      </c>
    </row>
    <row r="60" spans="1:10" x14ac:dyDescent="0.2">
      <c r="A60" s="1" t="s">
        <v>49</v>
      </c>
      <c r="B60" t="s">
        <v>3</v>
      </c>
      <c r="C60" t="str">
        <f t="shared" si="3"/>
        <v>musterPointId</v>
      </c>
      <c r="D60" t="str">
        <f t="shared" si="4"/>
        <v>this.musterPointId,</v>
      </c>
      <c r="E60" t="str">
        <f>"final " &amp; VLOOKUP(B60,Sheet2!$A$1:$B$4,2,FALSE) &amp; " " &amp; C60 &amp; ";"</f>
        <v>final String musterPointId;</v>
      </c>
      <c r="F60" s="6" t="str">
        <f t="shared" si="5"/>
        <v>MusterPointId</v>
      </c>
      <c r="G60" s="6" t="str">
        <f t="shared" si="6"/>
        <v>colMusterPointId</v>
      </c>
      <c r="H60" t="str">
        <f t="shared" si="7"/>
        <v>final String colMusterPointId= 'musterPointId';</v>
      </c>
      <c r="I60" t="str">
        <f t="shared" si="8"/>
        <v>$colMusterPointId TEXT,</v>
      </c>
      <c r="J60" t="str">
        <f t="shared" si="9"/>
        <v>ALTER TABLE ${eventsTableHelper.tableName} ADD COLUMN ${eventsTableHelper.colMusterPointId} TEXT;</v>
      </c>
    </row>
    <row r="61" spans="1:10" x14ac:dyDescent="0.2">
      <c r="A61" s="1" t="s">
        <v>50</v>
      </c>
      <c r="B61" t="s">
        <v>3</v>
      </c>
      <c r="C61" t="str">
        <f t="shared" si="3"/>
        <v>musterPointName</v>
      </c>
      <c r="D61" t="str">
        <f t="shared" si="4"/>
        <v>this.musterPointName,</v>
      </c>
      <c r="E61" t="str">
        <f>"final " &amp; VLOOKUP(B61,Sheet2!$A$1:$B$4,2,FALSE) &amp; " " &amp; C61 &amp; ";"</f>
        <v>final String musterPointName;</v>
      </c>
      <c r="F61" s="6" t="str">
        <f t="shared" si="5"/>
        <v>MusterPointName</v>
      </c>
      <c r="G61" s="6" t="str">
        <f t="shared" si="6"/>
        <v>colMusterPointName</v>
      </c>
      <c r="H61" t="str">
        <f t="shared" si="7"/>
        <v>final String colMusterPointName= 'musterPointName';</v>
      </c>
      <c r="I61" t="str">
        <f t="shared" si="8"/>
        <v>$colMusterPointName TEXT,</v>
      </c>
      <c r="J61" t="str">
        <f t="shared" si="9"/>
        <v>ALTER TABLE ${eventsTableHelper.tableName} ADD COLUMN ${eventsTableHelper.colMusterPointName} TEXT;</v>
      </c>
    </row>
    <row r="62" spans="1:10" x14ac:dyDescent="0.2">
      <c r="A62" s="1" t="s">
        <v>51</v>
      </c>
      <c r="B62" t="s">
        <v>3</v>
      </c>
      <c r="C62" t="str">
        <f t="shared" si="3"/>
        <v>musterPointCode</v>
      </c>
      <c r="D62" t="str">
        <f t="shared" si="4"/>
        <v>this.musterPointCode,</v>
      </c>
      <c r="E62" t="str">
        <f>"final " &amp; VLOOKUP(B62,Sheet2!$A$1:$B$4,2,FALSE) &amp; " " &amp; C62 &amp; ";"</f>
        <v>final String musterPointCode;</v>
      </c>
      <c r="F62" s="6" t="str">
        <f t="shared" si="5"/>
        <v>MusterPointCode</v>
      </c>
      <c r="G62" s="6" t="str">
        <f t="shared" si="6"/>
        <v>colMusterPointCode</v>
      </c>
      <c r="H62" t="str">
        <f t="shared" si="7"/>
        <v>final String colMusterPointCode= 'musterPointCode';</v>
      </c>
      <c r="I62" t="str">
        <f t="shared" si="8"/>
        <v>$colMusterPointCode TEXT,</v>
      </c>
      <c r="J62" t="str">
        <f t="shared" si="9"/>
        <v>ALTER TABLE ${eventsTableHelper.tableName} ADD COLUMN ${eventsTableHelper.colMusterPointCode} TEXT;</v>
      </c>
    </row>
    <row r="63" spans="1:10" x14ac:dyDescent="0.2">
      <c r="A63" s="1" t="s">
        <v>52</v>
      </c>
      <c r="B63" t="s">
        <v>3</v>
      </c>
      <c r="C63" t="str">
        <f t="shared" si="3"/>
        <v>musterPointAlias</v>
      </c>
      <c r="D63" t="str">
        <f t="shared" si="4"/>
        <v>this.musterPointAlias,</v>
      </c>
      <c r="E63" t="str">
        <f>"final " &amp; VLOOKUP(B63,Sheet2!$A$1:$B$4,2,FALSE) &amp; " " &amp; C63 &amp; ";"</f>
        <v>final String musterPointAlias;</v>
      </c>
      <c r="F63" s="6" t="str">
        <f t="shared" si="5"/>
        <v>MusterPointAlias</v>
      </c>
      <c r="G63" s="6" t="str">
        <f t="shared" si="6"/>
        <v>colMusterPointAlias</v>
      </c>
      <c r="H63" t="str">
        <f t="shared" si="7"/>
        <v>final String colMusterPointAlias= 'musterPointAlias';</v>
      </c>
      <c r="I63" t="str">
        <f t="shared" si="8"/>
        <v>$colMusterPointAlias TEXT,</v>
      </c>
      <c r="J63" t="str">
        <f t="shared" si="9"/>
        <v>ALTER TABLE ${eventsTableHelper.tableName} ADD COLUMN ${eventsTableHelper.colMusterPointAlias} TEXT;</v>
      </c>
    </row>
    <row r="64" spans="1:10" x14ac:dyDescent="0.2">
      <c r="A64" s="1" t="s">
        <v>20</v>
      </c>
      <c r="B64" t="s">
        <v>3</v>
      </c>
      <c r="C64" t="str">
        <f t="shared" si="3"/>
        <v>facilityId</v>
      </c>
      <c r="D64" t="str">
        <f t="shared" si="4"/>
        <v>this.facilityId,</v>
      </c>
      <c r="E64" t="str">
        <f>"final " &amp; VLOOKUP(B64,Sheet2!$A$1:$B$4,2,FALSE) &amp; " " &amp; C64 &amp; ";"</f>
        <v>final String facilityId;</v>
      </c>
      <c r="F64" s="6" t="str">
        <f t="shared" si="5"/>
        <v>FacilityId</v>
      </c>
      <c r="G64" s="6" t="str">
        <f t="shared" si="6"/>
        <v>colFacilityId</v>
      </c>
      <c r="H64" t="str">
        <f t="shared" si="7"/>
        <v>final String colFacilityId= 'facilityId';</v>
      </c>
      <c r="I64" t="str">
        <f t="shared" si="8"/>
        <v>$colFacilityId TEXT,</v>
      </c>
      <c r="J64" t="str">
        <f t="shared" si="9"/>
        <v>ALTER TABLE ${eventsTableHelper.tableName} ADD COLUMN ${eventsTableHelper.colFacilityId} TEXT;</v>
      </c>
    </row>
    <row r="65" spans="1:10" x14ac:dyDescent="0.2">
      <c r="A65" s="1" t="s">
        <v>24</v>
      </c>
      <c r="B65" t="s">
        <v>4</v>
      </c>
      <c r="C65" t="str">
        <f t="shared" si="3"/>
        <v>isActive</v>
      </c>
      <c r="D65" t="str">
        <f t="shared" si="4"/>
        <v>this.isActive,</v>
      </c>
      <c r="E65" t="str">
        <f>"final " &amp; VLOOKUP(B65,Sheet2!$A$1:$B$4,2,FALSE) &amp; " " &amp; C65 &amp; ";"</f>
        <v>final int isActive;</v>
      </c>
      <c r="F65" s="6" t="str">
        <f t="shared" si="5"/>
        <v>IsActive</v>
      </c>
      <c r="G65" s="6" t="str">
        <f t="shared" si="6"/>
        <v>colIsActive</v>
      </c>
      <c r="H65" t="str">
        <f t="shared" si="7"/>
        <v>final String colIsActive= 'isActive';</v>
      </c>
      <c r="I65" t="str">
        <f t="shared" si="8"/>
        <v>$colIsActive INT,</v>
      </c>
      <c r="J65" t="str">
        <f t="shared" si="9"/>
        <v>ALTER TABLE ${eventsTableHelper.tableName} ADD COLUMN ${eventsTableHelper.colIsActive} INT;</v>
      </c>
    </row>
    <row r="66" spans="1:10" x14ac:dyDescent="0.2">
      <c r="C66" t="str">
        <f t="shared" si="3"/>
        <v/>
      </c>
      <c r="D66" t="str">
        <f t="shared" si="4"/>
        <v>this.,</v>
      </c>
      <c r="E66" t="e">
        <f>"final " &amp; VLOOKUP(B66,Sheet2!$A$1:$B$4,2,FALSE) &amp; " " &amp; C66 &amp; ";"</f>
        <v>#N/A</v>
      </c>
      <c r="F66" s="6" t="str">
        <f t="shared" si="5"/>
        <v/>
      </c>
      <c r="G66" s="6" t="str">
        <f t="shared" si="6"/>
        <v>col</v>
      </c>
      <c r="H66" t="str">
        <f t="shared" si="7"/>
        <v>final String col= '';</v>
      </c>
      <c r="I66" t="str">
        <f t="shared" si="8"/>
        <v>$col ,</v>
      </c>
      <c r="J66" t="str">
        <f t="shared" si="9"/>
        <v>ALTER TABLE ${eventsTableHelper.tableName} ADD COLUMN ${eventsTableHelper.col} ;</v>
      </c>
    </row>
    <row r="67" spans="1:10" x14ac:dyDescent="0.2">
      <c r="C67" t="str">
        <f t="shared" si="3"/>
        <v/>
      </c>
      <c r="D67" t="str">
        <f t="shared" si="4"/>
        <v>this.,</v>
      </c>
      <c r="E67" t="e">
        <f>"final " &amp; VLOOKUP(B67,Sheet2!$A$1:$B$4,2,FALSE) &amp; " " &amp; C67 &amp; ";"</f>
        <v>#N/A</v>
      </c>
      <c r="F67" s="6" t="str">
        <f t="shared" si="5"/>
        <v/>
      </c>
      <c r="G67" s="6" t="str">
        <f t="shared" si="6"/>
        <v>col</v>
      </c>
      <c r="H67" t="str">
        <f t="shared" si="7"/>
        <v>final String col= '';</v>
      </c>
      <c r="I67" t="str">
        <f t="shared" si="8"/>
        <v>$col ,</v>
      </c>
      <c r="J67" t="str">
        <f t="shared" si="9"/>
        <v>ALTER TABLE ${eventsTableHelper.tableName} ADD COLUMN ${eventsTableHelper.col} ;</v>
      </c>
    </row>
    <row r="68" spans="1:10" x14ac:dyDescent="0.2">
      <c r="C68" t="str">
        <f t="shared" si="3"/>
        <v/>
      </c>
      <c r="D68" t="str">
        <f t="shared" si="4"/>
        <v>this.,</v>
      </c>
      <c r="E68" t="e">
        <f>"final " &amp; VLOOKUP(B68,Sheet2!$A$1:$B$4,2,FALSE) &amp; " " &amp; C68 &amp; ";"</f>
        <v>#N/A</v>
      </c>
      <c r="F68" s="6" t="str">
        <f t="shared" si="5"/>
        <v/>
      </c>
      <c r="G68" s="6" t="str">
        <f t="shared" si="6"/>
        <v>col</v>
      </c>
      <c r="H68" t="str">
        <f t="shared" si="7"/>
        <v>final String col= '';</v>
      </c>
      <c r="I68" t="str">
        <f t="shared" si="8"/>
        <v>$col ,</v>
      </c>
      <c r="J68" t="str">
        <f t="shared" si="9"/>
        <v>ALTER TABLE ${eventsTableHelper.tableName} ADD COLUMN ${eventsTableHelper.col} ;</v>
      </c>
    </row>
    <row r="69" spans="1:10" x14ac:dyDescent="0.2">
      <c r="C69" t="str">
        <f t="shared" si="3"/>
        <v/>
      </c>
      <c r="D69" t="str">
        <f t="shared" si="4"/>
        <v>this.,</v>
      </c>
      <c r="E69" t="e">
        <f>"final " &amp; VLOOKUP(B69,Sheet2!$A$1:$B$4,2,FALSE) &amp; " " &amp; C69 &amp; ";"</f>
        <v>#N/A</v>
      </c>
      <c r="F69" s="6" t="str">
        <f t="shared" si="5"/>
        <v/>
      </c>
      <c r="G69" s="6" t="str">
        <f t="shared" si="6"/>
        <v>col</v>
      </c>
      <c r="H69" t="str">
        <f t="shared" si="7"/>
        <v>final String col= '';</v>
      </c>
      <c r="I69" t="str">
        <f t="shared" si="8"/>
        <v>$col ,</v>
      </c>
      <c r="J69" t="str">
        <f t="shared" si="9"/>
        <v>ALTER TABLE ${eventsTableHelper.tableName} ADD COLUMN ${eventsTableHelper.col} ;</v>
      </c>
    </row>
    <row r="70" spans="1:10" x14ac:dyDescent="0.2">
      <c r="C70" t="str">
        <f t="shared" si="3"/>
        <v/>
      </c>
      <c r="D70" t="str">
        <f t="shared" si="4"/>
        <v>this.,</v>
      </c>
      <c r="E70" t="e">
        <f>"final " &amp; VLOOKUP(B70,Sheet2!$A$1:$B$4,2,FALSE) &amp; " " &amp; C70 &amp; ";"</f>
        <v>#N/A</v>
      </c>
      <c r="F70" s="6" t="str">
        <f t="shared" si="5"/>
        <v/>
      </c>
      <c r="G70" s="6" t="str">
        <f t="shared" si="6"/>
        <v>col</v>
      </c>
      <c r="H70" t="str">
        <f t="shared" si="7"/>
        <v>final String col= '';</v>
      </c>
      <c r="I70" t="str">
        <f t="shared" si="8"/>
        <v>$col ,</v>
      </c>
      <c r="J70" t="str">
        <f t="shared" si="9"/>
        <v>ALTER TABLE ${eventsTableHelper.tableName} ADD COLUMN ${eventsTableHelper.col} ;</v>
      </c>
    </row>
    <row r="71" spans="1:10" x14ac:dyDescent="0.2">
      <c r="C71" t="str">
        <f t="shared" ref="C71:C84" si="10">SUBSTITUTE(TRIM(RIGHT(SUBSTITUTE(A71," ",REPT(" ",100)),100)),",","")</f>
        <v/>
      </c>
      <c r="D71" t="str">
        <f t="shared" ref="D71:D84" si="11">"this."&amp;C71 &amp; ","</f>
        <v>this.,</v>
      </c>
      <c r="E71" t="e">
        <f>"final " &amp; VLOOKUP(B71,Sheet2!$A$1:$B$4,2,FALSE) &amp; " " &amp; C71 &amp; ";"</f>
        <v>#N/A</v>
      </c>
      <c r="F71" s="6" t="str">
        <f t="shared" ref="F71:F84" si="12">UPPER(MID(C71,1,1)) &amp; MID(C71,2,9999)</f>
        <v/>
      </c>
      <c r="G71" s="6" t="str">
        <f t="shared" ref="G71:G84" si="13">"col"&amp;F71</f>
        <v>col</v>
      </c>
      <c r="H71" t="str">
        <f t="shared" ref="H71:H84" si="14">"final String "&amp;G71&amp;"= '"&amp;C71&amp;"';"</f>
        <v>final String col= '';</v>
      </c>
      <c r="I71" t="str">
        <f t="shared" si="8"/>
        <v>$col ,</v>
      </c>
      <c r="J71" t="str">
        <f t="shared" si="9"/>
        <v>ALTER TABLE ${eventsTableHelper.tableName} ADD COLUMN ${eventsTableHelper.col} ;</v>
      </c>
    </row>
    <row r="72" spans="1:10" x14ac:dyDescent="0.2">
      <c r="C72" t="str">
        <f t="shared" si="10"/>
        <v/>
      </c>
      <c r="D72" t="str">
        <f t="shared" si="11"/>
        <v>this.,</v>
      </c>
      <c r="E72" t="e">
        <f>"final " &amp; VLOOKUP(B72,Sheet2!$A$1:$B$4,2,FALSE) &amp; " " &amp; C72 &amp; ";"</f>
        <v>#N/A</v>
      </c>
      <c r="F72" s="6" t="str">
        <f t="shared" si="12"/>
        <v/>
      </c>
      <c r="G72" s="6" t="str">
        <f t="shared" si="13"/>
        <v>col</v>
      </c>
      <c r="H72" t="str">
        <f t="shared" si="14"/>
        <v>final String col= '';</v>
      </c>
      <c r="I72" t="str">
        <f t="shared" si="8"/>
        <v>$col ,</v>
      </c>
      <c r="J72" t="str">
        <f t="shared" si="9"/>
        <v>ALTER TABLE ${eventsTableHelper.tableName} ADD COLUMN ${eventsTableHelper.col} ;</v>
      </c>
    </row>
    <row r="73" spans="1:10" x14ac:dyDescent="0.2">
      <c r="C73" t="str">
        <f t="shared" si="10"/>
        <v/>
      </c>
      <c r="D73" t="str">
        <f t="shared" si="11"/>
        <v>this.,</v>
      </c>
      <c r="E73" t="e">
        <f>"final " &amp; VLOOKUP(B73,Sheet2!$A$1:$B$4,2,FALSE) &amp; " " &amp; C73 &amp; ";"</f>
        <v>#N/A</v>
      </c>
      <c r="F73" s="6" t="str">
        <f t="shared" si="12"/>
        <v/>
      </c>
      <c r="G73" s="6" t="str">
        <f t="shared" si="13"/>
        <v>col</v>
      </c>
      <c r="H73" t="str">
        <f t="shared" si="14"/>
        <v>final String col= '';</v>
      </c>
      <c r="I73" t="str">
        <f t="shared" si="8"/>
        <v>$col ,</v>
      </c>
      <c r="J73" t="str">
        <f t="shared" si="9"/>
        <v>ALTER TABLE ${eventsTableHelper.tableName} ADD COLUMN ${eventsTableHelper.col} ;</v>
      </c>
    </row>
    <row r="74" spans="1:10" x14ac:dyDescent="0.2">
      <c r="B74" t="s">
        <v>4</v>
      </c>
      <c r="C74" t="str">
        <f t="shared" si="10"/>
        <v/>
      </c>
      <c r="D74" t="str">
        <f t="shared" si="11"/>
        <v>this.,</v>
      </c>
      <c r="E74" t="str">
        <f>"final " &amp; VLOOKUP(B74,Sheet2!$A$1:$B$4,2,FALSE) &amp; " " &amp; C74 &amp; ";"</f>
        <v>final int ;</v>
      </c>
      <c r="F74" s="6" t="str">
        <f t="shared" si="12"/>
        <v/>
      </c>
      <c r="G74" s="6" t="str">
        <f t="shared" si="13"/>
        <v>col</v>
      </c>
      <c r="H74" t="str">
        <f t="shared" si="14"/>
        <v>final String col= '';</v>
      </c>
      <c r="I74" t="str">
        <f t="shared" si="8"/>
        <v>$col INT,</v>
      </c>
      <c r="J74" t="str">
        <f t="shared" si="9"/>
        <v>ALTER TABLE ${eventsTableHelper.tableName} ADD COLUMN ${eventsTableHelper.col} INT;</v>
      </c>
    </row>
    <row r="75" spans="1:10" x14ac:dyDescent="0.2">
      <c r="B75" t="s">
        <v>4</v>
      </c>
      <c r="C75" t="str">
        <f t="shared" si="10"/>
        <v/>
      </c>
      <c r="D75" t="str">
        <f t="shared" si="11"/>
        <v>this.,</v>
      </c>
      <c r="E75" t="str">
        <f>"final " &amp; VLOOKUP(B75,Sheet2!$A$1:$B$4,2,FALSE) &amp; " " &amp; C75 &amp; ";"</f>
        <v>final int ;</v>
      </c>
      <c r="F75" s="6" t="str">
        <f t="shared" si="12"/>
        <v/>
      </c>
      <c r="G75" s="6" t="str">
        <f t="shared" si="13"/>
        <v>col</v>
      </c>
      <c r="H75" t="str">
        <f t="shared" si="14"/>
        <v>final String col= '';</v>
      </c>
      <c r="I75" t="str">
        <f t="shared" si="8"/>
        <v>$col INT,</v>
      </c>
      <c r="J75" t="str">
        <f t="shared" si="9"/>
        <v>ALTER TABLE ${eventsTableHelper.tableName} ADD COLUMN ${eventsTableHelper.col} INT;</v>
      </c>
    </row>
    <row r="76" spans="1:10" x14ac:dyDescent="0.2">
      <c r="B76" t="s">
        <v>4</v>
      </c>
      <c r="C76" t="str">
        <f t="shared" si="10"/>
        <v/>
      </c>
      <c r="D76" t="str">
        <f t="shared" si="11"/>
        <v>this.,</v>
      </c>
      <c r="E76" t="str">
        <f>"final " &amp; VLOOKUP(B76,Sheet2!$A$1:$B$4,2,FALSE) &amp; " " &amp; C76 &amp; ";"</f>
        <v>final int ;</v>
      </c>
      <c r="F76" s="6" t="str">
        <f t="shared" si="12"/>
        <v/>
      </c>
      <c r="G76" s="6" t="str">
        <f t="shared" si="13"/>
        <v>col</v>
      </c>
      <c r="H76" t="str">
        <f t="shared" si="14"/>
        <v>final String col= '';</v>
      </c>
      <c r="I76" t="str">
        <f t="shared" si="8"/>
        <v>$col INT,</v>
      </c>
      <c r="J76" t="str">
        <f t="shared" si="9"/>
        <v>ALTER TABLE ${eventsTableHelper.tableName} ADD COLUMN ${eventsTableHelper.col} INT;</v>
      </c>
    </row>
    <row r="77" spans="1:10" x14ac:dyDescent="0.2">
      <c r="B77" t="s">
        <v>4</v>
      </c>
      <c r="C77" t="str">
        <f t="shared" si="10"/>
        <v/>
      </c>
      <c r="D77" t="str">
        <f t="shared" si="11"/>
        <v>this.,</v>
      </c>
      <c r="E77" t="str">
        <f>"final " &amp; VLOOKUP(B77,Sheet2!$A$1:$B$4,2,FALSE) &amp; " " &amp; C77 &amp; ";"</f>
        <v>final int ;</v>
      </c>
      <c r="F77" s="6" t="str">
        <f t="shared" si="12"/>
        <v/>
      </c>
      <c r="G77" s="6" t="str">
        <f t="shared" si="13"/>
        <v>col</v>
      </c>
      <c r="H77" t="str">
        <f t="shared" si="14"/>
        <v>final String col= '';</v>
      </c>
      <c r="I77" t="str">
        <f t="shared" si="8"/>
        <v>$col INT,</v>
      </c>
      <c r="J77" t="str">
        <f t="shared" si="9"/>
        <v>ALTER TABLE ${eventsTableHelper.tableName} ADD COLUMN ${eventsTableHelper.col} INT;</v>
      </c>
    </row>
    <row r="78" spans="1:10" x14ac:dyDescent="0.2">
      <c r="B78" t="s">
        <v>4</v>
      </c>
      <c r="C78" t="str">
        <f t="shared" si="10"/>
        <v/>
      </c>
      <c r="D78" t="str">
        <f t="shared" si="11"/>
        <v>this.,</v>
      </c>
      <c r="E78" t="str">
        <f>"final " &amp; VLOOKUP(B78,Sheet2!$A$1:$B$4,2,FALSE) &amp; " " &amp; C78 &amp; ";"</f>
        <v>final int ;</v>
      </c>
      <c r="F78" s="6" t="str">
        <f t="shared" si="12"/>
        <v/>
      </c>
      <c r="G78" s="6" t="str">
        <f t="shared" si="13"/>
        <v>col</v>
      </c>
      <c r="H78" t="str">
        <f t="shared" si="14"/>
        <v>final String col= '';</v>
      </c>
      <c r="I78" t="str">
        <f t="shared" si="8"/>
        <v>$col INT,</v>
      </c>
      <c r="J78" t="str">
        <f t="shared" si="9"/>
        <v>ALTER TABLE ${eventsTableHelper.tableName} ADD COLUMN ${eventsTableHelper.col} INT;</v>
      </c>
    </row>
    <row r="79" spans="1:10" x14ac:dyDescent="0.2">
      <c r="B79" t="s">
        <v>4</v>
      </c>
      <c r="C79" t="str">
        <f t="shared" si="10"/>
        <v/>
      </c>
      <c r="D79" t="str">
        <f t="shared" si="11"/>
        <v>this.,</v>
      </c>
      <c r="E79" t="str">
        <f>"final " &amp; VLOOKUP(B79,Sheet2!$A$1:$B$4,2,FALSE) &amp; " " &amp; C79 &amp; ";"</f>
        <v>final int ;</v>
      </c>
      <c r="F79" s="6" t="str">
        <f t="shared" si="12"/>
        <v/>
      </c>
      <c r="G79" s="6" t="str">
        <f t="shared" si="13"/>
        <v>col</v>
      </c>
      <c r="H79" t="str">
        <f t="shared" si="14"/>
        <v>final String col= '';</v>
      </c>
      <c r="I79" t="str">
        <f t="shared" si="8"/>
        <v>$col INT,</v>
      </c>
      <c r="J79" t="str">
        <f t="shared" si="9"/>
        <v>ALTER TABLE ${eventsTableHelper.tableName} ADD COLUMN ${eventsTableHelper.col} INT;</v>
      </c>
    </row>
    <row r="80" spans="1:10" x14ac:dyDescent="0.2">
      <c r="B80" t="s">
        <v>4</v>
      </c>
      <c r="C80" t="str">
        <f t="shared" si="10"/>
        <v/>
      </c>
      <c r="D80" t="str">
        <f t="shared" si="11"/>
        <v>this.,</v>
      </c>
      <c r="E80" t="str">
        <f>"final " &amp; VLOOKUP(B80,Sheet2!$A$1:$B$4,2,FALSE) &amp; " " &amp; C80 &amp; ";"</f>
        <v>final int ;</v>
      </c>
      <c r="F80" s="6" t="str">
        <f t="shared" si="12"/>
        <v/>
      </c>
      <c r="G80" s="6" t="str">
        <f t="shared" si="13"/>
        <v>col</v>
      </c>
      <c r="H80" t="str">
        <f t="shared" si="14"/>
        <v>final String col= '';</v>
      </c>
      <c r="I80" t="str">
        <f t="shared" si="8"/>
        <v>$col INT,</v>
      </c>
      <c r="J80" t="str">
        <f t="shared" si="9"/>
        <v>ALTER TABLE ${eventsTableHelper.tableName} ADD COLUMN ${eventsTableHelper.col} INT;</v>
      </c>
    </row>
    <row r="81" spans="2:10" x14ac:dyDescent="0.2">
      <c r="B81" t="s">
        <v>4</v>
      </c>
      <c r="C81" t="str">
        <f t="shared" si="10"/>
        <v/>
      </c>
      <c r="D81" t="str">
        <f t="shared" si="11"/>
        <v>this.,</v>
      </c>
      <c r="E81" t="str">
        <f>"final " &amp; VLOOKUP(B81,Sheet2!$A$1:$B$4,2,FALSE) &amp; " " &amp; C81 &amp; ";"</f>
        <v>final int ;</v>
      </c>
      <c r="F81" s="6" t="str">
        <f t="shared" si="12"/>
        <v/>
      </c>
      <c r="G81" s="6" t="str">
        <f t="shared" si="13"/>
        <v>col</v>
      </c>
      <c r="H81" t="str">
        <f t="shared" si="14"/>
        <v>final String col= '';</v>
      </c>
      <c r="I81" t="str">
        <f t="shared" si="8"/>
        <v>$col INT,</v>
      </c>
      <c r="J81" t="str">
        <f t="shared" si="9"/>
        <v>ALTER TABLE ${eventsTableHelper.tableName} ADD COLUMN ${eventsTableHelper.col} INT;</v>
      </c>
    </row>
    <row r="82" spans="2:10" x14ac:dyDescent="0.2">
      <c r="B82" t="s">
        <v>4</v>
      </c>
      <c r="C82" t="str">
        <f t="shared" si="10"/>
        <v/>
      </c>
      <c r="D82" t="str">
        <f t="shared" si="11"/>
        <v>this.,</v>
      </c>
      <c r="E82" t="str">
        <f>"final " &amp; VLOOKUP(B82,Sheet2!$A$1:$B$4,2,FALSE) &amp; " " &amp; C82 &amp; ";"</f>
        <v>final int ;</v>
      </c>
      <c r="F82" s="6" t="str">
        <f t="shared" si="12"/>
        <v/>
      </c>
      <c r="G82" s="6" t="str">
        <f t="shared" si="13"/>
        <v>col</v>
      </c>
      <c r="H82" t="str">
        <f t="shared" si="14"/>
        <v>final String col= '';</v>
      </c>
      <c r="I82" t="str">
        <f t="shared" si="8"/>
        <v>$col INT,</v>
      </c>
      <c r="J82" t="str">
        <f t="shared" si="9"/>
        <v>ALTER TABLE ${eventsTableHelper.tableName} ADD COLUMN ${eventsTableHelper.col} INT;</v>
      </c>
    </row>
    <row r="83" spans="2:10" x14ac:dyDescent="0.2">
      <c r="B83" t="s">
        <v>4</v>
      </c>
      <c r="C83" t="str">
        <f t="shared" si="10"/>
        <v/>
      </c>
      <c r="D83" t="str">
        <f t="shared" si="11"/>
        <v>this.,</v>
      </c>
      <c r="E83" t="str">
        <f>"final " &amp; VLOOKUP(B83,Sheet2!$A$1:$B$4,2,FALSE) &amp; " " &amp; C83 &amp; ";"</f>
        <v>final int ;</v>
      </c>
      <c r="F83" s="6" t="str">
        <f t="shared" si="12"/>
        <v/>
      </c>
      <c r="G83" s="6" t="str">
        <f t="shared" si="13"/>
        <v>col</v>
      </c>
      <c r="H83" t="str">
        <f t="shared" si="14"/>
        <v>final String col= '';</v>
      </c>
      <c r="I83" t="str">
        <f t="shared" si="8"/>
        <v>$col INT,</v>
      </c>
      <c r="J83" t="str">
        <f t="shared" si="9"/>
        <v>ALTER TABLE ${eventsTableHelper.tableName} ADD COLUMN ${eventsTableHelper.col} INT;</v>
      </c>
    </row>
    <row r="84" spans="2:10" x14ac:dyDescent="0.2">
      <c r="B84" t="s">
        <v>4</v>
      </c>
      <c r="C84" t="str">
        <f t="shared" si="10"/>
        <v/>
      </c>
      <c r="D84" t="str">
        <f t="shared" si="11"/>
        <v>this.,</v>
      </c>
      <c r="E84" t="str">
        <f>"final " &amp; VLOOKUP(B84,Sheet2!$A$1:$B$4,2,FALSE) &amp; " " &amp; C84 &amp; ";"</f>
        <v>final int ;</v>
      </c>
      <c r="F84" s="6" t="str">
        <f t="shared" si="12"/>
        <v/>
      </c>
      <c r="G84" s="6" t="str">
        <f t="shared" si="13"/>
        <v>col</v>
      </c>
      <c r="H84" t="str">
        <f t="shared" si="14"/>
        <v>final String col= '';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0582-5E61-2D4A-9CD9-5C46FBEF9BBC}">
  <dimension ref="A1:B4"/>
  <sheetViews>
    <sheetView workbookViewId="0">
      <selection activeCell="B4" sqref="B4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</v>
      </c>
      <c r="B2" t="s">
        <v>10</v>
      </c>
    </row>
    <row r="3" spans="1:2" x14ac:dyDescent="0.2">
      <c r="A3" t="s">
        <v>4</v>
      </c>
      <c r="B3" t="s">
        <v>11</v>
      </c>
    </row>
    <row r="4" spans="1:2" x14ac:dyDescent="0.2">
      <c r="A4" t="s">
        <v>5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2019-04-21T14:42:26Z</dcterms:created>
  <dcterms:modified xsi:type="dcterms:W3CDTF">2020-04-12T06:02:10Z</dcterms:modified>
</cp:coreProperties>
</file>