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meswhite/Projects/flutter/HC/HarrierCentral/HarrierCentralMobile-Flutter/android/devHelpers/"/>
    </mc:Choice>
  </mc:AlternateContent>
  <xr:revisionPtr revIDLastSave="0" documentId="13_ncr:1_{176F73F6-92FC-6048-A42D-811606804A29}" xr6:coauthVersionLast="38" xr6:coauthVersionMax="38" xr10:uidLastSave="{00000000-0000-0000-0000-000000000000}"/>
  <bookViews>
    <workbookView xWindow="0" yWindow="460" windowWidth="33600" windowHeight="20540" xr2:uid="{50A37692-8663-7F4C-91F6-2AE3BA380A00}"/>
  </bookViews>
  <sheets>
    <sheet name="Sheet1" sheetId="1" r:id="rId1"/>
    <sheet name="Sheet2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" i="1"/>
  <c r="E3" i="1"/>
  <c r="E4" i="1"/>
  <c r="E5" i="1"/>
  <c r="E6" i="1"/>
  <c r="E7" i="1"/>
  <c r="E8" i="1"/>
  <c r="E9" i="1"/>
  <c r="E10" i="1"/>
  <c r="E11" i="1"/>
  <c r="E12" i="1"/>
  <c r="E13" i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  <c r="G3" i="1" l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" i="1"/>
  <c r="H2" i="1" s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4" i="1"/>
  <c r="F5" i="1"/>
  <c r="F6" i="1"/>
  <c r="F7" i="1"/>
  <c r="F8" i="1"/>
  <c r="F9" i="1"/>
  <c r="F2" i="1"/>
  <c r="K18" i="1" l="1"/>
  <c r="I18" i="1"/>
  <c r="L18" i="1"/>
  <c r="J18" i="1"/>
  <c r="K17" i="1"/>
  <c r="I17" i="1"/>
  <c r="L17" i="1"/>
  <c r="J17" i="1"/>
  <c r="K16" i="1"/>
  <c r="I16" i="1"/>
  <c r="L16" i="1"/>
  <c r="J16" i="1"/>
  <c r="K7" i="1"/>
  <c r="I7" i="1"/>
  <c r="L7" i="1"/>
  <c r="J7" i="1"/>
  <c r="L14" i="1"/>
  <c r="J14" i="1"/>
  <c r="K14" i="1"/>
  <c r="I14" i="1"/>
  <c r="L6" i="1"/>
  <c r="J6" i="1"/>
  <c r="K6" i="1"/>
  <c r="I6" i="1"/>
  <c r="L21" i="1"/>
  <c r="J21" i="1"/>
  <c r="K21" i="1"/>
  <c r="I21" i="1"/>
  <c r="L13" i="1"/>
  <c r="J13" i="1"/>
  <c r="K13" i="1"/>
  <c r="I13" i="1"/>
  <c r="L5" i="1"/>
  <c r="J5" i="1"/>
  <c r="K5" i="1"/>
  <c r="I5" i="1"/>
  <c r="L20" i="1"/>
  <c r="J20" i="1"/>
  <c r="K20" i="1"/>
  <c r="I20" i="1"/>
  <c r="L12" i="1"/>
  <c r="J12" i="1"/>
  <c r="K12" i="1"/>
  <c r="I12" i="1"/>
  <c r="L4" i="1"/>
  <c r="J4" i="1"/>
  <c r="K4" i="1"/>
  <c r="I4" i="1"/>
  <c r="K10" i="1"/>
  <c r="I10" i="1"/>
  <c r="L10" i="1"/>
  <c r="J10" i="1"/>
  <c r="K9" i="1"/>
  <c r="I9" i="1"/>
  <c r="L9" i="1"/>
  <c r="J9" i="1"/>
  <c r="K8" i="1"/>
  <c r="I8" i="1"/>
  <c r="L8" i="1"/>
  <c r="J8" i="1"/>
  <c r="K15" i="1"/>
  <c r="I15" i="1"/>
  <c r="L15" i="1"/>
  <c r="J15" i="1"/>
  <c r="L2" i="1"/>
  <c r="J2" i="1"/>
  <c r="K2" i="1"/>
  <c r="I2" i="1"/>
  <c r="L19" i="1"/>
  <c r="J19" i="1"/>
  <c r="K19" i="1"/>
  <c r="I19" i="1"/>
  <c r="L11" i="1"/>
  <c r="J11" i="1"/>
  <c r="K11" i="1"/>
  <c r="I11" i="1"/>
  <c r="L3" i="1"/>
  <c r="J3" i="1"/>
  <c r="K3" i="1"/>
  <c r="I3" i="1"/>
</calcChain>
</file>

<file path=xl/sharedStrings.xml><?xml version="1.0" encoding="utf-8"?>
<sst xmlns="http://schemas.openxmlformats.org/spreadsheetml/2006/main" count="47" uniqueCount="26">
  <si>
    <t>wireName</t>
  </si>
  <si>
    <t>dataType</t>
  </si>
  <si>
    <t>TEXT NOT NULL</t>
  </si>
  <si>
    <t>TEXT</t>
  </si>
  <si>
    <t>INT</t>
  </si>
  <si>
    <t>NUM</t>
  </si>
  <si>
    <r>
      <t xml:space="preserve">  [id]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hkmId</t>
    </r>
  </si>
  <si>
    <r>
      <t xml:space="preserve">    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[UserId]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userId</t>
    </r>
  </si>
  <si>
    <r>
      <t xml:space="preserve">    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[KennelId]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kennelId</t>
    </r>
  </si>
  <si>
    <r>
      <t xml:space="preserve">    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[Following]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</t>
    </r>
    <r>
      <rPr>
        <sz val="10"/>
        <color rgb="FF0000FF"/>
        <rFont val="Consolas"/>
        <family val="2"/>
      </rPr>
      <t>following</t>
    </r>
  </si>
  <si>
    <r>
      <t xml:space="preserve">    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[IsMember]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isMember</t>
    </r>
  </si>
  <si>
    <r>
      <t xml:space="preserve">    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[MismanagementRoleFlags]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mismanagementRoleFlags</t>
    </r>
  </si>
  <si>
    <r>
      <t xml:space="preserve">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[UserRoleFlags]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userRoleFlags</t>
    </r>
  </si>
  <si>
    <r>
      <t xml:space="preserve">    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[AppAccessFlags]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appAccessFlags</t>
    </r>
  </si>
  <si>
    <r>
      <t xml:space="preserve">    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[HistoricalPackRunCount]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historicalPackRunCount</t>
    </r>
  </si>
  <si>
    <r>
      <t xml:space="preserve">    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[HistoricalHaringCount]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historicalHaringCount</t>
    </r>
  </si>
  <si>
    <r>
      <t xml:space="preserve">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[removed]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removed</t>
    </r>
  </si>
  <si>
    <r>
      <t xml:space="preserve">      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 xml:space="preserve">[updatedAt]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updatedAt</t>
    </r>
  </si>
  <si>
    <t>raw text input</t>
  </si>
  <si>
    <t>column name</t>
  </si>
  <si>
    <t>capitalized wire name</t>
  </si>
  <si>
    <t>column code</t>
  </si>
  <si>
    <t>String</t>
  </si>
  <si>
    <t>int</t>
  </si>
  <si>
    <t>num</t>
  </si>
  <si>
    <t>UserKennelsTdTableHelper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</si>
</sst>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0"/>
      <color theme="1"/>
      <name val="Consolas"/>
      <family val="2"/>
    </font>
    <font>
      <sz val="10"/>
      <color rgb="FF0000FF"/>
      <name val="Consolas"/>
      <family val="2"/>
    </font>
    <font>
      <sz val="10"/>
      <color rgb="FF808080"/>
      <name val="Consolas"/>
      <family val="2"/>
    </font>
    <font>
      <b/>
      <sz val="12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ABA0-45A3-CE41-BCC1-A3347CEBD28F}">
  <dimension ref="A1:L22"/>
  <sheetViews>
    <sheetView tabSelected="1" topLeftCell="I1" workbookViewId="0">
      <selection activeCell="L13" sqref="L2:L13"/>
    </sheetView>
  </sheetViews>
  <sheetFormatPr baseColWidth="10" defaultRowHeight="16" x14ac:dyDescent="0.2"/>
  <cols>
    <col min="1" max="1" width="55.33203125" customWidth="1"/>
    <col min="2" max="2" width="20.83203125" customWidth="1"/>
    <col min="3" max="5" width="43.33203125" customWidth="1"/>
    <col min="6" max="6" width="61" bestFit="1" customWidth="1"/>
    <col min="7" max="7" width="25.33203125" bestFit="1" customWidth="1"/>
    <col min="8" max="8" width="27.83203125" bestFit="1" customWidth="1"/>
    <col min="9" max="9" width="71" bestFit="1" customWidth="1"/>
    <col min="10" max="10" width="34.33203125" bestFit="1" customWidth="1"/>
    <col min="11" max="11" width="75.5" bestFit="1" customWidth="1"/>
  </cols>
  <sheetData>
    <row r="1" spans="1:12" s="2" customFormat="1" x14ac:dyDescent="0.2">
      <c r="A1" s="2" t="s">
        <v>18</v>
      </c>
      <c r="B1" s="2" t="s">
        <v>1</v>
      </c>
      <c r="C1" s="2" t="s">
        <v>0</v>
      </c>
      <c r="G1" s="2" t="s">
        <v>20</v>
      </c>
      <c r="H1" s="2" t="s">
        <v>19</v>
      </c>
      <c r="I1" s="2" t="s">
        <v>21</v>
      </c>
      <c r="K1" s="2" t="s">
        <v>25</v>
      </c>
    </row>
    <row r="2" spans="1:12" x14ac:dyDescent="0.2">
      <c r="A2" s="1" t="s">
        <v>6</v>
      </c>
      <c r="B2" t="s">
        <v>2</v>
      </c>
      <c r="C2" t="str">
        <f>TRIM(RIGHT(SUBSTITUTE(A2," ",REPT(" ",100)),100))</f>
        <v>hkmId</v>
      </c>
      <c r="D2" t="str">
        <f>"this."&amp;C2 &amp; ","</f>
        <v>this.hkmId,</v>
      </c>
      <c r="E2" t="str">
        <f>"final " &amp; VLOOKUP(B2,Sheet2!$A$1:$B$4,2,FALSE) &amp; " " &amp; C2 &amp; ";"</f>
        <v>final String hkmId;</v>
      </c>
      <c r="F2" t="str">
        <f>C2&amp;": jsonItem['"&amp;C2&amp;"'],"</f>
        <v>hkmId: jsonItem['hkmId'],</v>
      </c>
      <c r="G2" t="str">
        <f>UPPER(MID(C2,1,1)) &amp; MID(C2,2,9999)</f>
        <v>HkmId</v>
      </c>
      <c r="H2" t="str">
        <f>"col"&amp;G2</f>
        <v>colHkmId</v>
      </c>
      <c r="I2" t="str">
        <f>"static const String "&amp;H2&amp;"= '"&amp;C2&amp;"';"</f>
        <v>static const String colHkmId= 'hkmId';</v>
      </c>
      <c r="J2" t="str">
        <f>"$"&amp;H2&amp;" "&amp;B2&amp;","</f>
        <v>$colHkmId TEXT NOT NULL,</v>
      </c>
      <c r="K2" t="str">
        <f>$K$1&amp;"."&amp;H2&amp;": item."&amp;C2&amp;","</f>
        <v>UserKennelsTdTableHelper.colHkmId: item.hkmId,</v>
      </c>
      <c r="L2" t="str">
        <f>C2&amp;": map["&amp;$K$1&amp;"."&amp;H2&amp;"],"</f>
        <v>hkmId: map[UserKennelsTdTableHelper.colHkmId],</v>
      </c>
    </row>
    <row r="3" spans="1:12" x14ac:dyDescent="0.2">
      <c r="A3" s="1" t="s">
        <v>7</v>
      </c>
      <c r="B3" t="s">
        <v>2</v>
      </c>
      <c r="C3" t="str">
        <f t="shared" ref="C3:C21" si="0">TRIM(RIGHT(SUBSTITUTE(A3," ",REPT(" ",100)),100))</f>
        <v>userId</v>
      </c>
      <c r="D3" t="str">
        <f t="shared" ref="D3:D22" si="1">"this."&amp;C3 &amp; ","</f>
        <v>this.userId,</v>
      </c>
      <c r="E3" t="str">
        <f>"final " &amp; VLOOKUP(B3,Sheet2!$A$1:$B$4,2,FALSE) &amp; " " &amp; C3 &amp; ";"</f>
        <v>final String userId;</v>
      </c>
      <c r="F3" t="str">
        <f>C3&amp;": jsonItem['"&amp;C3&amp;"'],"</f>
        <v>userId: jsonItem['userId'],</v>
      </c>
      <c r="G3" t="str">
        <f>UPPER(MID(C3,1,1)) &amp; MID(C3,2,9999)</f>
        <v>UserId</v>
      </c>
      <c r="H3" t="str">
        <f t="shared" ref="H3:H21" si="2">"col"&amp;G3</f>
        <v>colUserId</v>
      </c>
      <c r="I3" t="str">
        <f>"static const String "&amp;H3&amp;"= '"&amp;C3&amp;"';"</f>
        <v>static const String colUserId= 'userId';</v>
      </c>
      <c r="J3" t="str">
        <f>"$"&amp;H3&amp;" "&amp;B3&amp;","</f>
        <v>$colUserId TEXT NOT NULL,</v>
      </c>
      <c r="K3" t="str">
        <f>$K$1&amp;"."&amp;H3&amp;": item."&amp;C3&amp;","</f>
        <v>UserKennelsTdTableHelper.colUserId: item.userId,</v>
      </c>
      <c r="L3" t="str">
        <f>C3&amp;": map["&amp;$K$1&amp;"."&amp;H3&amp;"],"</f>
        <v>userId: map[UserKennelsTdTableHelper.colUserId],</v>
      </c>
    </row>
    <row r="4" spans="1:12" x14ac:dyDescent="0.2">
      <c r="A4" s="1" t="s">
        <v>8</v>
      </c>
      <c r="B4" t="s">
        <v>2</v>
      </c>
      <c r="C4" t="str">
        <f t="shared" si="0"/>
        <v>kennelId</v>
      </c>
      <c r="D4" t="str">
        <f t="shared" si="1"/>
        <v>this.kennelId,</v>
      </c>
      <c r="E4" t="str">
        <f>"final " &amp; VLOOKUP(B4,Sheet2!$A$1:$B$4,2,FALSE) &amp; " " &amp; C4 &amp; ";"</f>
        <v>final String kennelId;</v>
      </c>
      <c r="F4" t="str">
        <f>C4&amp;": jsonItem['"&amp;C4&amp;"'],"</f>
        <v>kennelId: jsonItem['kennelId'],</v>
      </c>
      <c r="G4" t="str">
        <f>UPPER(MID(C4,1,1)) &amp; MID(C4,2,9999)</f>
        <v>KennelId</v>
      </c>
      <c r="H4" t="str">
        <f t="shared" si="2"/>
        <v>colKennelId</v>
      </c>
      <c r="I4" t="str">
        <f>"static const String "&amp;H4&amp;"= '"&amp;C4&amp;"';"</f>
        <v>static const String colKennelId= 'kennelId';</v>
      </c>
      <c r="J4" t="str">
        <f>"$"&amp;H4&amp;" "&amp;B4&amp;","</f>
        <v>$colKennelId TEXT NOT NULL,</v>
      </c>
      <c r="K4" t="str">
        <f>$K$1&amp;"."&amp;H4&amp;": item."&amp;C4&amp;","</f>
        <v>UserKennelsTdTableHelper.colKennelId: item.kennelId,</v>
      </c>
      <c r="L4" t="str">
        <f>C4&amp;": map["&amp;$K$1&amp;"."&amp;H4&amp;"],"</f>
        <v>kennelId: map[UserKennelsTdTableHelper.colKennelId],</v>
      </c>
    </row>
    <row r="5" spans="1:12" x14ac:dyDescent="0.2">
      <c r="A5" s="1" t="s">
        <v>9</v>
      </c>
      <c r="B5" t="s">
        <v>4</v>
      </c>
      <c r="C5" t="str">
        <f t="shared" si="0"/>
        <v>following</v>
      </c>
      <c r="D5" t="str">
        <f t="shared" si="1"/>
        <v>this.following,</v>
      </c>
      <c r="E5" t="str">
        <f>"final " &amp; VLOOKUP(B5,Sheet2!$A$1:$B$4,2,FALSE) &amp; " " &amp; C5 &amp; ";"</f>
        <v>final int following;</v>
      </c>
      <c r="F5" t="str">
        <f>C5&amp;": jsonItem['"&amp;C5&amp;"'],"</f>
        <v>following: jsonItem['following'],</v>
      </c>
      <c r="G5" t="str">
        <f>UPPER(MID(C5,1,1)) &amp; MID(C5,2,9999)</f>
        <v>Following</v>
      </c>
      <c r="H5" t="str">
        <f t="shared" si="2"/>
        <v>colFollowing</v>
      </c>
      <c r="I5" t="str">
        <f>"static const String "&amp;H5&amp;"= '"&amp;C5&amp;"';"</f>
        <v>static const String colFollowing= 'following';</v>
      </c>
      <c r="J5" t="str">
        <f>"$"&amp;H5&amp;" "&amp;B5&amp;","</f>
        <v>$colFollowing INT,</v>
      </c>
      <c r="K5" t="str">
        <f>$K$1&amp;"."&amp;H5&amp;": item."&amp;C5&amp;","</f>
        <v>UserKennelsTdTableHelper.colFollowing: item.following,</v>
      </c>
      <c r="L5" t="str">
        <f>C5&amp;": map["&amp;$K$1&amp;"."&amp;H5&amp;"],"</f>
        <v>following: map[UserKennelsTdTableHelper.colFollowing],</v>
      </c>
    </row>
    <row r="6" spans="1:12" x14ac:dyDescent="0.2">
      <c r="A6" s="1" t="s">
        <v>10</v>
      </c>
      <c r="B6" t="s">
        <v>4</v>
      </c>
      <c r="C6" t="str">
        <f t="shared" si="0"/>
        <v>isMember</v>
      </c>
      <c r="D6" t="str">
        <f t="shared" si="1"/>
        <v>this.isMember,</v>
      </c>
      <c r="E6" t="str">
        <f>"final " &amp; VLOOKUP(B6,Sheet2!$A$1:$B$4,2,FALSE) &amp; " " &amp; C6 &amp; ";"</f>
        <v>final int isMember;</v>
      </c>
      <c r="F6" t="str">
        <f>C6&amp;": jsonItem['"&amp;C6&amp;"'],"</f>
        <v>isMember: jsonItem['isMember'],</v>
      </c>
      <c r="G6" t="str">
        <f>UPPER(MID(C6,1,1)) &amp; MID(C6,2,9999)</f>
        <v>IsMember</v>
      </c>
      <c r="H6" t="str">
        <f t="shared" si="2"/>
        <v>colIsMember</v>
      </c>
      <c r="I6" t="str">
        <f>"static const String "&amp;H6&amp;"= '"&amp;C6&amp;"';"</f>
        <v>static const String colIsMember= 'isMember';</v>
      </c>
      <c r="J6" t="str">
        <f>"$"&amp;H6&amp;" "&amp;B6&amp;","</f>
        <v>$colIsMember INT,</v>
      </c>
      <c r="K6" t="str">
        <f>$K$1&amp;"."&amp;H6&amp;": item."&amp;C6&amp;","</f>
        <v>UserKennelsTdTableHelper.colIsMember: item.isMember,</v>
      </c>
      <c r="L6" t="str">
        <f>C6&amp;": map["&amp;$K$1&amp;"."&amp;H6&amp;"],"</f>
        <v>isMember: map[UserKennelsTdTableHelper.colIsMember],</v>
      </c>
    </row>
    <row r="7" spans="1:12" x14ac:dyDescent="0.2">
      <c r="A7" s="1" t="s">
        <v>11</v>
      </c>
      <c r="B7" t="s">
        <v>4</v>
      </c>
      <c r="C7" t="str">
        <f t="shared" si="0"/>
        <v>mismanagementRoleFlags</v>
      </c>
      <c r="D7" t="str">
        <f t="shared" si="1"/>
        <v>this.mismanagementRoleFlags,</v>
      </c>
      <c r="E7" t="str">
        <f>"final " &amp; VLOOKUP(B7,Sheet2!$A$1:$B$4,2,FALSE) &amp; " " &amp; C7 &amp; ";"</f>
        <v>final int mismanagementRoleFlags;</v>
      </c>
      <c r="F7" t="str">
        <f>C7&amp;": jsonItem['"&amp;C7&amp;"'],"</f>
        <v>mismanagementRoleFlags: jsonItem['mismanagementRoleFlags'],</v>
      </c>
      <c r="G7" t="str">
        <f>UPPER(MID(C7,1,1)) &amp; MID(C7,2,9999)</f>
        <v>MismanagementRoleFlags</v>
      </c>
      <c r="H7" t="str">
        <f t="shared" si="2"/>
        <v>colMismanagementRoleFlags</v>
      </c>
      <c r="I7" t="str">
        <f>"static const String "&amp;H7&amp;"= '"&amp;C7&amp;"';"</f>
        <v>static const String colMismanagementRoleFlags= 'mismanagementRoleFlags';</v>
      </c>
      <c r="J7" t="str">
        <f>"$"&amp;H7&amp;" "&amp;B7&amp;","</f>
        <v>$colMismanagementRoleFlags INT,</v>
      </c>
      <c r="K7" t="str">
        <f>$K$1&amp;"."&amp;H7&amp;": item."&amp;C7&amp;","</f>
        <v>UserKennelsTdTableHelper.colMismanagementRoleFlags: item.mismanagementRoleFlags,</v>
      </c>
      <c r="L7" t="str">
        <f>C7&amp;": map["&amp;$K$1&amp;"."&amp;H7&amp;"],"</f>
        <v>mismanagementRoleFlags: map[UserKennelsTdTableHelper.colMismanagementRoleFlags],</v>
      </c>
    </row>
    <row r="8" spans="1:12" x14ac:dyDescent="0.2">
      <c r="A8" s="1" t="s">
        <v>12</v>
      </c>
      <c r="B8" t="s">
        <v>4</v>
      </c>
      <c r="C8" t="str">
        <f t="shared" si="0"/>
        <v>userRoleFlags</v>
      </c>
      <c r="D8" t="str">
        <f t="shared" si="1"/>
        <v>this.userRoleFlags,</v>
      </c>
      <c r="E8" t="str">
        <f>"final " &amp; VLOOKUP(B8,Sheet2!$A$1:$B$4,2,FALSE) &amp; " " &amp; C8 &amp; ";"</f>
        <v>final int userRoleFlags;</v>
      </c>
      <c r="F8" t="str">
        <f>C8&amp;": jsonItem['"&amp;C8&amp;"'],"</f>
        <v>userRoleFlags: jsonItem['userRoleFlags'],</v>
      </c>
      <c r="G8" t="str">
        <f>UPPER(MID(C8,1,1)) &amp; MID(C8,2,9999)</f>
        <v>UserRoleFlags</v>
      </c>
      <c r="H8" t="str">
        <f t="shared" si="2"/>
        <v>colUserRoleFlags</v>
      </c>
      <c r="I8" t="str">
        <f>"static const String "&amp;H8&amp;"= '"&amp;C8&amp;"';"</f>
        <v>static const String colUserRoleFlags= 'userRoleFlags';</v>
      </c>
      <c r="J8" t="str">
        <f>"$"&amp;H8&amp;" "&amp;B8&amp;","</f>
        <v>$colUserRoleFlags INT,</v>
      </c>
      <c r="K8" t="str">
        <f>$K$1&amp;"."&amp;H8&amp;": item."&amp;C8&amp;","</f>
        <v>UserKennelsTdTableHelper.colUserRoleFlags: item.userRoleFlags,</v>
      </c>
      <c r="L8" t="str">
        <f>C8&amp;": map["&amp;$K$1&amp;"."&amp;H8&amp;"],"</f>
        <v>userRoleFlags: map[UserKennelsTdTableHelper.colUserRoleFlags],</v>
      </c>
    </row>
    <row r="9" spans="1:12" x14ac:dyDescent="0.2">
      <c r="A9" s="1" t="s">
        <v>13</v>
      </c>
      <c r="B9" t="s">
        <v>4</v>
      </c>
      <c r="C9" t="str">
        <f t="shared" si="0"/>
        <v>appAccessFlags</v>
      </c>
      <c r="D9" t="str">
        <f t="shared" si="1"/>
        <v>this.appAccessFlags,</v>
      </c>
      <c r="E9" t="str">
        <f>"final " &amp; VLOOKUP(B9,Sheet2!$A$1:$B$4,2,FALSE) &amp; " " &amp; C9 &amp; ";"</f>
        <v>final int appAccessFlags;</v>
      </c>
      <c r="F9" t="str">
        <f>C9&amp;": jsonItem['"&amp;C9&amp;"'],"</f>
        <v>appAccessFlags: jsonItem['appAccessFlags'],</v>
      </c>
      <c r="G9" t="str">
        <f>UPPER(MID(C9,1,1)) &amp; MID(C9,2,9999)</f>
        <v>AppAccessFlags</v>
      </c>
      <c r="H9" t="str">
        <f t="shared" si="2"/>
        <v>colAppAccessFlags</v>
      </c>
      <c r="I9" t="str">
        <f>"static const String "&amp;H9&amp;"= '"&amp;C9&amp;"';"</f>
        <v>static const String colAppAccessFlags= 'appAccessFlags';</v>
      </c>
      <c r="J9" t="str">
        <f>"$"&amp;H9&amp;" "&amp;B9&amp;","</f>
        <v>$colAppAccessFlags INT,</v>
      </c>
      <c r="K9" t="str">
        <f>$K$1&amp;"."&amp;H9&amp;": item."&amp;C9&amp;","</f>
        <v>UserKennelsTdTableHelper.colAppAccessFlags: item.appAccessFlags,</v>
      </c>
      <c r="L9" t="str">
        <f>C9&amp;": map["&amp;$K$1&amp;"."&amp;H9&amp;"],"</f>
        <v>appAccessFlags: map[UserKennelsTdTableHelper.colAppAccessFlags],</v>
      </c>
    </row>
    <row r="10" spans="1:12" x14ac:dyDescent="0.2">
      <c r="A10" s="1" t="s">
        <v>14</v>
      </c>
      <c r="B10" t="s">
        <v>5</v>
      </c>
      <c r="C10" t="str">
        <f t="shared" si="0"/>
        <v>historicalPackRunCount</v>
      </c>
      <c r="D10" t="str">
        <f t="shared" si="1"/>
        <v>this.historicalPackRunCount,</v>
      </c>
      <c r="E10" t="str">
        <f>"final " &amp; VLOOKUP(B10,Sheet2!$A$1:$B$4,2,FALSE) &amp; " " &amp; C10 &amp; ";"</f>
        <v>final num historicalPackRunCount;</v>
      </c>
      <c r="F10" t="str">
        <f>C10&amp;": jsonItem['"&amp;C10&amp;"'],"</f>
        <v>historicalPackRunCount: jsonItem['historicalPackRunCount'],</v>
      </c>
      <c r="G10" t="str">
        <f>UPPER(MID(C10,1,1)) &amp; MID(C10,2,9999)</f>
        <v>HistoricalPackRunCount</v>
      </c>
      <c r="H10" t="str">
        <f t="shared" si="2"/>
        <v>colHistoricalPackRunCount</v>
      </c>
      <c r="I10" t="str">
        <f>"static const String "&amp;H10&amp;"= '"&amp;C10&amp;"';"</f>
        <v>static const String colHistoricalPackRunCount= 'historicalPackRunCount';</v>
      </c>
      <c r="J10" t="str">
        <f>"$"&amp;H10&amp;" "&amp;B10&amp;","</f>
        <v>$colHistoricalPackRunCount NUM,</v>
      </c>
      <c r="K10" t="str">
        <f>$K$1&amp;"."&amp;H10&amp;": item."&amp;C10&amp;","</f>
        <v>UserKennelsTdTableHelper.colHistoricalPackRunCount: item.historicalPackRunCount,</v>
      </c>
      <c r="L10" t="str">
        <f>C10&amp;": map["&amp;$K$1&amp;"."&amp;H10&amp;"],"</f>
        <v>historicalPackRunCount: map[UserKennelsTdTableHelper.colHistoricalPackRunCount],</v>
      </c>
    </row>
    <row r="11" spans="1:12" x14ac:dyDescent="0.2">
      <c r="A11" s="1" t="s">
        <v>15</v>
      </c>
      <c r="B11" t="s">
        <v>5</v>
      </c>
      <c r="C11" t="str">
        <f t="shared" si="0"/>
        <v>historicalHaringCount</v>
      </c>
      <c r="D11" t="str">
        <f t="shared" si="1"/>
        <v>this.historicalHaringCount,</v>
      </c>
      <c r="E11" t="str">
        <f>"final " &amp; VLOOKUP(B11,Sheet2!$A$1:$B$4,2,FALSE) &amp; " " &amp; C11 &amp; ";"</f>
        <v>final num historicalHaringCount;</v>
      </c>
      <c r="F11" t="str">
        <f>C11&amp;": jsonItem['"&amp;C11&amp;"'],"</f>
        <v>historicalHaringCount: jsonItem['historicalHaringCount'],</v>
      </c>
      <c r="G11" t="str">
        <f>UPPER(MID(C11,1,1)) &amp; MID(C11,2,9999)</f>
        <v>HistoricalHaringCount</v>
      </c>
      <c r="H11" t="str">
        <f t="shared" si="2"/>
        <v>colHistoricalHaringCount</v>
      </c>
      <c r="I11" t="str">
        <f>"static const String "&amp;H11&amp;"= '"&amp;C11&amp;"';"</f>
        <v>static const String colHistoricalHaringCount= 'historicalHaringCount';</v>
      </c>
      <c r="J11" t="str">
        <f>"$"&amp;H11&amp;" "&amp;B11&amp;","</f>
        <v>$colHistoricalHaringCount NUM,</v>
      </c>
      <c r="K11" t="str">
        <f>$K$1&amp;"."&amp;H11&amp;": item."&amp;C11&amp;","</f>
        <v>UserKennelsTdTableHelper.colHistoricalHaringCount: item.historicalHaringCount,</v>
      </c>
      <c r="L11" t="str">
        <f>C11&amp;": map["&amp;$K$1&amp;"."&amp;H11&amp;"],"</f>
        <v>historicalHaringCount: map[UserKennelsTdTableHelper.colHistoricalHaringCount],</v>
      </c>
    </row>
    <row r="12" spans="1:12" x14ac:dyDescent="0.2">
      <c r="A12" s="1" t="s">
        <v>16</v>
      </c>
      <c r="B12" t="s">
        <v>4</v>
      </c>
      <c r="C12" t="str">
        <f t="shared" si="0"/>
        <v>removed</v>
      </c>
      <c r="D12" t="str">
        <f t="shared" si="1"/>
        <v>this.removed,</v>
      </c>
      <c r="E12" t="str">
        <f>"final " &amp; VLOOKUP(B12,Sheet2!$A$1:$B$4,2,FALSE) &amp; " " &amp; C12 &amp; ";"</f>
        <v>final int removed;</v>
      </c>
      <c r="F12" t="str">
        <f>C12&amp;": jsonItem['"&amp;C12&amp;"'],"</f>
        <v>removed: jsonItem['removed'],</v>
      </c>
      <c r="G12" t="str">
        <f>UPPER(MID(C12,1,1)) &amp; MID(C12,2,9999)</f>
        <v>Removed</v>
      </c>
      <c r="H12" t="str">
        <f t="shared" si="2"/>
        <v>colRemoved</v>
      </c>
      <c r="I12" t="str">
        <f>"static const String "&amp;H12&amp;"= '"&amp;C12&amp;"';"</f>
        <v>static const String colRemoved= 'removed';</v>
      </c>
      <c r="J12" t="str">
        <f>"$"&amp;H12&amp;" "&amp;B12&amp;","</f>
        <v>$colRemoved INT,</v>
      </c>
      <c r="K12" t="str">
        <f>$K$1&amp;"."&amp;H12&amp;": item."&amp;C12&amp;","</f>
        <v>UserKennelsTdTableHelper.colRemoved: item.removed,</v>
      </c>
      <c r="L12" t="str">
        <f>C12&amp;": map["&amp;$K$1&amp;"."&amp;H12&amp;"],"</f>
        <v>removed: map[UserKennelsTdTableHelper.colRemoved],</v>
      </c>
    </row>
    <row r="13" spans="1:12" x14ac:dyDescent="0.2">
      <c r="A13" s="1" t="s">
        <v>17</v>
      </c>
      <c r="B13" t="s">
        <v>3</v>
      </c>
      <c r="C13" t="str">
        <f t="shared" si="0"/>
        <v>updatedAt</v>
      </c>
      <c r="D13" t="str">
        <f t="shared" si="1"/>
        <v>this.updatedAt,</v>
      </c>
      <c r="E13" t="str">
        <f>"final " &amp; VLOOKUP(B13,Sheet2!$A$1:$B$4,2,FALSE) &amp; " " &amp; C13 &amp; ";"</f>
        <v>final String updatedAt;</v>
      </c>
      <c r="F13" t="str">
        <f>C13&amp;": jsonItem['"&amp;C13&amp;"'],"</f>
        <v>updatedAt: jsonItem['updatedAt'],</v>
      </c>
      <c r="G13" t="str">
        <f>UPPER(MID(C13,1,1)) &amp; MID(C13,2,9999)</f>
        <v>UpdatedAt</v>
      </c>
      <c r="H13" t="str">
        <f t="shared" si="2"/>
        <v>colUpdatedAt</v>
      </c>
      <c r="I13" t="str">
        <f>"static const String "&amp;H13&amp;"= '"&amp;C13&amp;"';"</f>
        <v>static const String colUpdatedAt= 'updatedAt';</v>
      </c>
      <c r="J13" t="str">
        <f>"$"&amp;H13&amp;" "&amp;B13&amp;","</f>
        <v>$colUpdatedAt TEXT,</v>
      </c>
      <c r="K13" t="str">
        <f>$K$1&amp;"."&amp;H13&amp;": item."&amp;C13&amp;","</f>
        <v>UserKennelsTdTableHelper.colUpdatedAt: item.updatedAt,</v>
      </c>
      <c r="L13" t="str">
        <f>C13&amp;": map["&amp;$K$1&amp;"."&amp;H13&amp;"],"</f>
        <v>updatedAt: map[UserKennelsTdTableHelper.colUpdatedAt],</v>
      </c>
    </row>
    <row r="14" spans="1:12" x14ac:dyDescent="0.2">
      <c r="B14" t="s">
        <v>4</v>
      </c>
      <c r="C14" t="str">
        <f t="shared" si="0"/>
        <v/>
      </c>
      <c r="D14" t="str">
        <f t="shared" si="1"/>
        <v>this.,</v>
      </c>
      <c r="F14" t="str">
        <f>C14&amp;": jsonItem['"&amp;C14&amp;"'],"</f>
        <v>: jsonItem[''],</v>
      </c>
      <c r="G14" t="str">
        <f>UPPER(MID(C14,1,1)) &amp; MID(C14,2,9999)</f>
        <v/>
      </c>
      <c r="H14" t="str">
        <f t="shared" si="2"/>
        <v>col</v>
      </c>
      <c r="I14" t="str">
        <f>"static const String "&amp;H14&amp;"= '"&amp;C14&amp;"';"</f>
        <v>static const String col= '';</v>
      </c>
      <c r="J14" t="str">
        <f>"$"&amp;H14&amp;" "&amp;B14&amp;","</f>
        <v>$col INT,</v>
      </c>
      <c r="K14" t="str">
        <f>$K$1&amp;"."&amp;H14&amp;": item."&amp;C14&amp;","</f>
        <v>UserKennelsTdTableHelper.col: item.,</v>
      </c>
      <c r="L14" t="str">
        <f>C14&amp;": map["&amp;$K$1&amp;"."&amp;H14&amp;"],"</f>
        <v>: map[UserKennelsTdTableHelper.col],</v>
      </c>
    </row>
    <row r="15" spans="1:12" x14ac:dyDescent="0.2">
      <c r="B15" t="s">
        <v>5</v>
      </c>
      <c r="C15" t="str">
        <f t="shared" si="0"/>
        <v/>
      </c>
      <c r="D15" t="str">
        <f t="shared" si="1"/>
        <v>this.,</v>
      </c>
      <c r="F15" t="str">
        <f>C15&amp;": jsonItem['"&amp;C15&amp;"'],"</f>
        <v>: jsonItem[''],</v>
      </c>
      <c r="G15" t="str">
        <f>UPPER(MID(C15,1,1)) &amp; MID(C15,2,9999)</f>
        <v/>
      </c>
      <c r="H15" t="str">
        <f t="shared" si="2"/>
        <v>col</v>
      </c>
      <c r="I15" t="str">
        <f>"static const String "&amp;H15&amp;"= '"&amp;C15&amp;"';"</f>
        <v>static const String col= '';</v>
      </c>
      <c r="J15" t="str">
        <f>"$"&amp;H15&amp;" "&amp;B15&amp;","</f>
        <v>$col NUM,</v>
      </c>
      <c r="K15" t="str">
        <f>$K$1&amp;"."&amp;H15&amp;": item."&amp;C15&amp;","</f>
        <v>UserKennelsTdTableHelper.col: item.,</v>
      </c>
      <c r="L15" t="str">
        <f>C15&amp;": map["&amp;$K$1&amp;"."&amp;H15&amp;"],"</f>
        <v>: map[UserKennelsTdTableHelper.col],</v>
      </c>
    </row>
    <row r="16" spans="1:12" x14ac:dyDescent="0.2">
      <c r="B16" t="s">
        <v>5</v>
      </c>
      <c r="C16" t="str">
        <f t="shared" si="0"/>
        <v/>
      </c>
      <c r="D16" t="str">
        <f t="shared" si="1"/>
        <v>this.,</v>
      </c>
      <c r="F16" t="str">
        <f>C16&amp;": jsonItem['"&amp;C16&amp;"'],"</f>
        <v>: jsonItem[''],</v>
      </c>
      <c r="G16" t="str">
        <f>UPPER(MID(C16,1,1)) &amp; MID(C16,2,9999)</f>
        <v/>
      </c>
      <c r="H16" t="str">
        <f t="shared" si="2"/>
        <v>col</v>
      </c>
      <c r="I16" t="str">
        <f>"static const String "&amp;H16&amp;"= '"&amp;C16&amp;"';"</f>
        <v>static const String col= '';</v>
      </c>
      <c r="J16" t="str">
        <f>"$"&amp;H16&amp;" "&amp;B16&amp;","</f>
        <v>$col NUM,</v>
      </c>
      <c r="K16" t="str">
        <f>$K$1&amp;"."&amp;H16&amp;": item."&amp;C16&amp;","</f>
        <v>UserKennelsTdTableHelper.col: item.,</v>
      </c>
      <c r="L16" t="str">
        <f>C16&amp;": map["&amp;$K$1&amp;"."&amp;H16&amp;"],"</f>
        <v>: map[UserKennelsTdTableHelper.col],</v>
      </c>
    </row>
    <row r="17" spans="2:12" x14ac:dyDescent="0.2">
      <c r="B17" t="s">
        <v>5</v>
      </c>
      <c r="C17" t="str">
        <f t="shared" si="0"/>
        <v/>
      </c>
      <c r="D17" t="str">
        <f t="shared" si="1"/>
        <v>this.,</v>
      </c>
      <c r="F17" t="str">
        <f>C17&amp;": jsonItem['"&amp;C17&amp;"'],"</f>
        <v>: jsonItem[''],</v>
      </c>
      <c r="G17" t="str">
        <f>UPPER(MID(C17,1,1)) &amp; MID(C17,2,9999)</f>
        <v/>
      </c>
      <c r="H17" t="str">
        <f t="shared" si="2"/>
        <v>col</v>
      </c>
      <c r="I17" t="str">
        <f>"static const String "&amp;H17&amp;"= '"&amp;C17&amp;"';"</f>
        <v>static const String col= '';</v>
      </c>
      <c r="J17" t="str">
        <f>"$"&amp;H17&amp;" "&amp;B17&amp;","</f>
        <v>$col NUM,</v>
      </c>
      <c r="K17" t="str">
        <f>$K$1&amp;"."&amp;H17&amp;": item."&amp;C17&amp;","</f>
        <v>UserKennelsTdTableHelper.col: item.,</v>
      </c>
      <c r="L17" t="str">
        <f>C17&amp;": map["&amp;$K$1&amp;"."&amp;H17&amp;"],"</f>
        <v>: map[UserKennelsTdTableHelper.col],</v>
      </c>
    </row>
    <row r="18" spans="2:12" x14ac:dyDescent="0.2">
      <c r="B18" t="s">
        <v>5</v>
      </c>
      <c r="C18" t="str">
        <f t="shared" si="0"/>
        <v/>
      </c>
      <c r="D18" t="str">
        <f t="shared" si="1"/>
        <v>this.,</v>
      </c>
      <c r="F18" t="str">
        <f>C18&amp;": jsonItem['"&amp;C18&amp;"'],"</f>
        <v>: jsonItem[''],</v>
      </c>
      <c r="G18" t="str">
        <f>UPPER(MID(C18,1,1)) &amp; MID(C18,2,9999)</f>
        <v/>
      </c>
      <c r="H18" t="str">
        <f t="shared" si="2"/>
        <v>col</v>
      </c>
      <c r="I18" t="str">
        <f>"static const String "&amp;H18&amp;"= '"&amp;C18&amp;"';"</f>
        <v>static const String col= '';</v>
      </c>
      <c r="J18" t="str">
        <f>"$"&amp;H18&amp;" "&amp;B18&amp;","</f>
        <v>$col NUM,</v>
      </c>
      <c r="K18" t="str">
        <f>$K$1&amp;"."&amp;H18&amp;": item."&amp;C18&amp;","</f>
        <v>UserKennelsTdTableHelper.col: item.,</v>
      </c>
      <c r="L18" t="str">
        <f>C18&amp;": map["&amp;$K$1&amp;"."&amp;H18&amp;"],"</f>
        <v>: map[UserKennelsTdTableHelper.col],</v>
      </c>
    </row>
    <row r="19" spans="2:12" x14ac:dyDescent="0.2">
      <c r="B19" t="s">
        <v>3</v>
      </c>
      <c r="C19" t="str">
        <f t="shared" si="0"/>
        <v/>
      </c>
      <c r="D19" t="str">
        <f t="shared" si="1"/>
        <v>this.,</v>
      </c>
      <c r="F19" t="str">
        <f>C19&amp;": jsonItem['"&amp;C19&amp;"'],"</f>
        <v>: jsonItem[''],</v>
      </c>
      <c r="G19" t="str">
        <f>UPPER(MID(C19,1,1)) &amp; MID(C19,2,9999)</f>
        <v/>
      </c>
      <c r="H19" t="str">
        <f t="shared" si="2"/>
        <v>col</v>
      </c>
      <c r="I19" t="str">
        <f>"static const String "&amp;H19&amp;"= '"&amp;C19&amp;"';"</f>
        <v>static const String col= '';</v>
      </c>
      <c r="J19" t="str">
        <f>"$"&amp;H19&amp;" "&amp;B19&amp;","</f>
        <v>$col TEXT,</v>
      </c>
      <c r="K19" t="str">
        <f>$K$1&amp;"."&amp;H19&amp;": item."&amp;C19&amp;","</f>
        <v>UserKennelsTdTableHelper.col: item.,</v>
      </c>
      <c r="L19" t="str">
        <f>C19&amp;": map["&amp;$K$1&amp;"."&amp;H19&amp;"],"</f>
        <v>: map[UserKennelsTdTableHelper.col],</v>
      </c>
    </row>
    <row r="20" spans="2:12" x14ac:dyDescent="0.2">
      <c r="B20" t="s">
        <v>3</v>
      </c>
      <c r="C20" t="str">
        <f t="shared" si="0"/>
        <v/>
      </c>
      <c r="D20" t="str">
        <f t="shared" si="1"/>
        <v>this.,</v>
      </c>
      <c r="F20" t="str">
        <f>C20&amp;": jsonItem['"&amp;C20&amp;"'],"</f>
        <v>: jsonItem[''],</v>
      </c>
      <c r="G20" t="str">
        <f>UPPER(MID(C20,1,1)) &amp; MID(C20,2,9999)</f>
        <v/>
      </c>
      <c r="H20" t="str">
        <f t="shared" si="2"/>
        <v>col</v>
      </c>
      <c r="I20" t="str">
        <f>"static const String "&amp;H20&amp;"= '"&amp;C20&amp;"';"</f>
        <v>static const String col= '';</v>
      </c>
      <c r="J20" t="str">
        <f>"$"&amp;H20&amp;" "&amp;B20&amp;","</f>
        <v>$col TEXT,</v>
      </c>
      <c r="K20" t="str">
        <f>$K$1&amp;"."&amp;H20&amp;": item."&amp;C20&amp;","</f>
        <v>UserKennelsTdTableHelper.col: item.,</v>
      </c>
      <c r="L20" t="str">
        <f>C20&amp;": map["&amp;$K$1&amp;"."&amp;H20&amp;"],"</f>
        <v>: map[UserKennelsTdTableHelper.col],</v>
      </c>
    </row>
    <row r="21" spans="2:12" x14ac:dyDescent="0.2">
      <c r="B21" t="s">
        <v>4</v>
      </c>
      <c r="C21" t="str">
        <f t="shared" si="0"/>
        <v/>
      </c>
      <c r="D21" t="str">
        <f t="shared" si="1"/>
        <v>this.,</v>
      </c>
      <c r="F21" t="str">
        <f>C21&amp;": jsonItem['"&amp;C21&amp;"'],"</f>
        <v>: jsonItem[''],</v>
      </c>
      <c r="G21" t="str">
        <f>UPPER(MID(C21,1,1)) &amp; MID(C21,2,9999)</f>
        <v/>
      </c>
      <c r="H21" t="str">
        <f t="shared" si="2"/>
        <v>col</v>
      </c>
      <c r="I21" t="str">
        <f>"static const String "&amp;H21&amp;"= '"&amp;C21&amp;"';"</f>
        <v>static const String col= '';</v>
      </c>
      <c r="J21" t="str">
        <f>"$"&amp;H21&amp;" "&amp;B21&amp;","</f>
        <v>$col INT,</v>
      </c>
      <c r="K21" t="str">
        <f>$K$1&amp;"."&amp;H21&amp;": item."&amp;C21&amp;","</f>
        <v>UserKennelsTdTableHelper.col: item.,</v>
      </c>
      <c r="L21" t="str">
        <f>C21&amp;": map["&amp;$K$1&amp;"."&amp;H21&amp;"],"</f>
        <v>: map[UserKennelsTdTableHelper.col],</v>
      </c>
    </row>
    <row r="22" spans="2:12" x14ac:dyDescent="0.2">
      <c r="D22" t="str">
        <f t="shared" si="1"/>
        <v>this.,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0582-5E61-2D4A-9CD9-5C46FBEF9BBC}">
  <dimension ref="A1:B4"/>
  <sheetViews>
    <sheetView workbookViewId="0">
      <selection activeCell="B4" sqref="B4"/>
    </sheetView>
  </sheetViews>
  <sheetFormatPr baseColWidth="10" defaultRowHeight="16" x14ac:dyDescent="0.2"/>
  <cols>
    <col min="1" max="1" width="14.1640625" bestFit="1" customWidth="1"/>
  </cols>
  <sheetData>
    <row r="1" spans="1:2" x14ac:dyDescent="0.2">
      <c r="A1" t="s">
        <v>3</v>
      </c>
      <c r="B1" t="s">
        <v>22</v>
      </c>
    </row>
    <row r="2" spans="1:2" x14ac:dyDescent="0.2">
      <c r="A2" t="s">
        <v>2</v>
      </c>
      <c r="B2" t="s">
        <v>22</v>
      </c>
    </row>
    <row r="3" spans="1:2" x14ac:dyDescent="0.2">
      <c r="A3" t="s">
        <v>4</v>
      </c>
      <c r="B3" t="s">
        <v>23</v>
      </c>
    </row>
    <row r="4" spans="1:2" x14ac:dyDescent="0.2">
      <c r="A4" t="s">
        <v>5</v>
      </c>
      <c r="B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2019-04-21T14:42:26Z</dcterms:created>
  <dcterms:modified xsi:type="dcterms:W3CDTF">2019-04-21T18:54:15Z</dcterms:modified>
</cp:coreProperties>
</file>