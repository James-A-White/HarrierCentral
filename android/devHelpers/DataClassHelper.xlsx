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white/Projects/flutter/HC/HarrierCentral/HarrierCentralMobile-Flutter/android/devHelpers/"/>
    </mc:Choice>
  </mc:AlternateContent>
  <xr:revisionPtr revIDLastSave="0" documentId="13_ncr:1_{E195015F-4387-644F-853A-B2CCED30F208}" xr6:coauthVersionLast="38" xr6:coauthVersionMax="38" xr10:uidLastSave="{00000000-0000-0000-0000-000000000000}"/>
  <bookViews>
    <workbookView xWindow="0" yWindow="460" windowWidth="33600" windowHeight="20540" xr2:uid="{50A37692-8663-7F4C-91F6-2AE3BA380A00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14" i="1" l="1"/>
  <c r="D15" i="1"/>
  <c r="D16" i="1"/>
  <c r="D17" i="1"/>
  <c r="D18" i="1"/>
  <c r="D19" i="1"/>
  <c r="D20" i="1"/>
  <c r="D21" i="1"/>
  <c r="D22" i="1"/>
  <c r="D3" i="1"/>
  <c r="D4" i="1"/>
  <c r="D5" i="1"/>
  <c r="E6" i="1"/>
  <c r="E7" i="1"/>
  <c r="E8" i="1"/>
  <c r="E9" i="1"/>
  <c r="E10" i="1"/>
  <c r="D11" i="1"/>
  <c r="D12" i="1"/>
  <c r="D13" i="1"/>
  <c r="E2" i="1"/>
  <c r="E13" i="1" l="1"/>
  <c r="E5" i="1"/>
  <c r="D10" i="1"/>
  <c r="E12" i="1"/>
  <c r="E4" i="1"/>
  <c r="D9" i="1"/>
  <c r="E11" i="1"/>
  <c r="E3" i="1"/>
  <c r="D8" i="1"/>
  <c r="D2" i="1"/>
  <c r="D7" i="1"/>
  <c r="D6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" i="1"/>
  <c r="H2" i="1" s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F4" i="1"/>
  <c r="F5" i="1"/>
  <c r="F6" i="1"/>
  <c r="F7" i="1"/>
  <c r="F8" i="1"/>
  <c r="F9" i="1"/>
  <c r="F2" i="1"/>
  <c r="K18" i="1" l="1"/>
  <c r="I18" i="1"/>
  <c r="L18" i="1"/>
  <c r="J18" i="1"/>
  <c r="K17" i="1"/>
  <c r="I17" i="1"/>
  <c r="L17" i="1"/>
  <c r="J17" i="1"/>
  <c r="K16" i="1"/>
  <c r="I16" i="1"/>
  <c r="L16" i="1"/>
  <c r="J16" i="1"/>
  <c r="K7" i="1"/>
  <c r="I7" i="1"/>
  <c r="L7" i="1"/>
  <c r="J7" i="1"/>
  <c r="L14" i="1"/>
  <c r="J14" i="1"/>
  <c r="K14" i="1"/>
  <c r="I14" i="1"/>
  <c r="L6" i="1"/>
  <c r="J6" i="1"/>
  <c r="K6" i="1"/>
  <c r="I6" i="1"/>
  <c r="L21" i="1"/>
  <c r="J21" i="1"/>
  <c r="K21" i="1"/>
  <c r="I21" i="1"/>
  <c r="L13" i="1"/>
  <c r="J13" i="1"/>
  <c r="K13" i="1"/>
  <c r="I13" i="1"/>
  <c r="L5" i="1"/>
  <c r="J5" i="1"/>
  <c r="K5" i="1"/>
  <c r="I5" i="1"/>
  <c r="L20" i="1"/>
  <c r="J20" i="1"/>
  <c r="K20" i="1"/>
  <c r="I20" i="1"/>
  <c r="L12" i="1"/>
  <c r="J12" i="1"/>
  <c r="K12" i="1"/>
  <c r="I12" i="1"/>
  <c r="L4" i="1"/>
  <c r="J4" i="1"/>
  <c r="K4" i="1"/>
  <c r="I4" i="1"/>
  <c r="K10" i="1"/>
  <c r="I10" i="1"/>
  <c r="L10" i="1"/>
  <c r="J10" i="1"/>
  <c r="K9" i="1"/>
  <c r="I9" i="1"/>
  <c r="L9" i="1"/>
  <c r="J9" i="1"/>
  <c r="K8" i="1"/>
  <c r="I8" i="1"/>
  <c r="L8" i="1"/>
  <c r="J8" i="1"/>
  <c r="K15" i="1"/>
  <c r="I15" i="1"/>
  <c r="L15" i="1"/>
  <c r="J15" i="1"/>
  <c r="L2" i="1"/>
  <c r="J2" i="1"/>
  <c r="K2" i="1"/>
  <c r="I2" i="1"/>
  <c r="L19" i="1"/>
  <c r="J19" i="1"/>
  <c r="K19" i="1"/>
  <c r="I19" i="1"/>
  <c r="L11" i="1"/>
  <c r="J11" i="1"/>
  <c r="K11" i="1"/>
  <c r="I11" i="1"/>
  <c r="L3" i="1"/>
  <c r="J3" i="1"/>
  <c r="K3" i="1"/>
  <c r="I3" i="1"/>
</calcChain>
</file>

<file path=xl/sharedStrings.xml><?xml version="1.0" encoding="utf-8"?>
<sst xmlns="http://schemas.openxmlformats.org/spreadsheetml/2006/main" count="44" uniqueCount="23">
  <si>
    <t>wireName</t>
  </si>
  <si>
    <t>dataType</t>
  </si>
  <si>
    <t>TEXT NOT NULL</t>
  </si>
  <si>
    <t>TEXT</t>
  </si>
  <si>
    <t>INT</t>
  </si>
  <si>
    <t>NUM</t>
  </si>
  <si>
    <t>raw text input</t>
  </si>
  <si>
    <t>column name</t>
  </si>
  <si>
    <t>capitalized wire name</t>
  </si>
  <si>
    <t>column code</t>
  </si>
  <si>
    <t>String</t>
  </si>
  <si>
    <t>int</t>
  </si>
  <si>
    <t>num</t>
  </si>
  <si>
    <r>
      <t xml:space="preserve">[id]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hemId</t>
    </r>
  </si>
  <si>
    <r>
      <t>,</t>
    </r>
    <r>
      <rPr>
        <sz val="10"/>
        <color theme="1"/>
        <rFont val="Consolas"/>
        <family val="2"/>
      </rPr>
      <t xml:space="preserve">[UserId]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userId</t>
    </r>
  </si>
  <si>
    <r>
      <t>,</t>
    </r>
    <r>
      <rPr>
        <sz val="10"/>
        <color theme="1"/>
        <rFont val="Consolas"/>
        <family val="2"/>
      </rPr>
      <t xml:space="preserve">[EventId]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eventId</t>
    </r>
  </si>
  <si>
    <r>
      <t>,</t>
    </r>
    <r>
      <rPr>
        <sz val="10"/>
        <color theme="1"/>
        <rFont val="Consolas"/>
        <family val="2"/>
      </rPr>
      <t xml:space="preserve">[UserStartEvent]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userStartEvent</t>
    </r>
  </si>
  <si>
    <r>
      <t>,</t>
    </r>
    <r>
      <rPr>
        <sz val="10"/>
        <color theme="1"/>
        <rFont val="Consolas"/>
        <family val="2"/>
      </rPr>
      <t xml:space="preserve">[UserEndEvent]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userEndEvent</t>
    </r>
  </si>
  <si>
    <r>
      <t>,</t>
    </r>
    <r>
      <rPr>
        <sz val="10"/>
        <color theme="1"/>
        <rFont val="Consolas"/>
        <family val="2"/>
      </rPr>
      <t xml:space="preserve">[RsvpState]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rsvpState</t>
    </r>
  </si>
  <si>
    <r>
      <t>,</t>
    </r>
    <r>
      <rPr>
        <sz val="10"/>
        <color theme="1"/>
        <rFont val="Consolas"/>
        <family val="2"/>
      </rPr>
      <t xml:space="preserve">[AttendenceState]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attendenceState</t>
    </r>
  </si>
  <si>
    <r>
      <t>,</t>
    </r>
    <r>
      <rPr>
        <sz val="10"/>
        <color theme="1"/>
        <rFont val="Consolas"/>
        <family val="2"/>
      </rPr>
      <t xml:space="preserve">[IsHare]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isHare</t>
    </r>
  </si>
  <si>
    <r>
      <t>,</t>
    </r>
    <r>
      <rPr>
        <sz val="10"/>
        <color theme="1"/>
        <rFont val="Consolas"/>
        <family val="2"/>
      </rPr>
      <t xml:space="preserve">[EventCountOverride] </t>
    </r>
    <r>
      <rPr>
        <sz val="10"/>
        <color rgb="FF0000FF"/>
        <rFont val="Consolas"/>
        <family val="2"/>
      </rPr>
      <t>as</t>
    </r>
    <r>
      <rPr>
        <sz val="10"/>
        <color theme="1"/>
        <rFont val="Consolas"/>
        <family val="2"/>
      </rPr>
      <t xml:space="preserve"> eventCountOverride</t>
    </r>
  </si>
  <si>
    <t>HasherEventMapTableHelper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</si>
</sst>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Consolas"/>
      <family val="2"/>
    </font>
    <font>
      <sz val="10"/>
      <color rgb="FF0000FF"/>
      <name val="Consolas"/>
      <family val="2"/>
    </font>
    <font>
      <sz val="10"/>
      <color rgb="FF808080"/>
      <name val="Consolas"/>
      <family val="2"/>
    </font>
    <font>
      <b/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ABA0-45A3-CE41-BCC1-A3347CEBD28F}">
  <dimension ref="A1:L22"/>
  <sheetViews>
    <sheetView tabSelected="1" topLeftCell="H1" workbookViewId="0">
      <selection activeCell="L10" sqref="L2:L10"/>
    </sheetView>
  </sheetViews>
  <sheetFormatPr baseColWidth="10" defaultRowHeight="16" x14ac:dyDescent="0.2"/>
  <cols>
    <col min="1" max="1" width="55.33203125" customWidth="1"/>
    <col min="2" max="2" width="20.83203125" customWidth="1"/>
    <col min="3" max="5" width="43.33203125" customWidth="1"/>
    <col min="6" max="6" width="61" bestFit="1" customWidth="1"/>
    <col min="7" max="7" width="25.33203125" bestFit="1" customWidth="1"/>
    <col min="8" max="8" width="27.83203125" bestFit="1" customWidth="1"/>
    <col min="9" max="9" width="71" bestFit="1" customWidth="1"/>
    <col min="10" max="10" width="34.33203125" bestFit="1" customWidth="1"/>
    <col min="11" max="11" width="75.5" bestFit="1" customWidth="1"/>
  </cols>
  <sheetData>
    <row r="1" spans="1:12" s="2" customFormat="1" x14ac:dyDescent="0.2">
      <c r="A1" s="2" t="s">
        <v>6</v>
      </c>
      <c r="B1" s="2" t="s">
        <v>1</v>
      </c>
      <c r="C1" s="2" t="s">
        <v>0</v>
      </c>
      <c r="G1" s="2" t="s">
        <v>8</v>
      </c>
      <c r="H1" s="2" t="s">
        <v>7</v>
      </c>
      <c r="I1" s="2" t="s">
        <v>9</v>
      </c>
      <c r="K1" s="2" t="s">
        <v>22</v>
      </c>
    </row>
    <row r="2" spans="1:12" x14ac:dyDescent="0.2">
      <c r="A2" s="1" t="s">
        <v>13</v>
      </c>
      <c r="B2" t="s">
        <v>2</v>
      </c>
      <c r="C2" t="str">
        <f>SUBSTITUTE(TRIM(RIGHT(SUBSTITUTE(A2," ",REPT(" ",100)),100)),",","")</f>
        <v>hemId</v>
      </c>
      <c r="D2" t="str">
        <f>"this."&amp;C2 &amp; ","</f>
        <v>this.hemId,</v>
      </c>
      <c r="E2" t="str">
        <f>"final " &amp; VLOOKUP(B2,Sheet2!$A$1:$B$4,2,FALSE) &amp; " " &amp; C2 &amp; ";"</f>
        <v>final String hemId;</v>
      </c>
      <c r="F2" t="str">
        <f t="shared" ref="F2:F21" si="0">C2&amp;": jsonItem['"&amp;C2&amp;"'],"</f>
        <v>hemId: jsonItem['hemId'],</v>
      </c>
      <c r="G2" t="str">
        <f t="shared" ref="G2:G21" si="1">UPPER(MID(C2,1,1)) &amp; MID(C2,2,9999)</f>
        <v>HemId</v>
      </c>
      <c r="H2" t="str">
        <f>"col"&amp;G2</f>
        <v>colHemId</v>
      </c>
      <c r="I2" t="str">
        <f t="shared" ref="I2:I21" si="2">"static const String "&amp;H2&amp;"= '"&amp;C2&amp;"';"</f>
        <v>static const String colHemId= 'hemId';</v>
      </c>
      <c r="J2" t="str">
        <f t="shared" ref="J2:J21" si="3">"$"&amp;H2&amp;" "&amp;B2&amp;","</f>
        <v>$colHemId TEXT NOT NULL,</v>
      </c>
      <c r="K2" t="str">
        <f t="shared" ref="K2:K21" si="4">$K$1&amp;"."&amp;H2&amp;": item."&amp;C2&amp;","</f>
        <v>HasherEventMapTableHelper.colHemId: item.hemId,</v>
      </c>
      <c r="L2" t="str">
        <f t="shared" ref="L2:L21" si="5">C2&amp;": map["&amp;$K$1&amp;"."&amp;H2&amp;"],"</f>
        <v>hemId: map[HasherEventMapTableHelper.colHemId],</v>
      </c>
    </row>
    <row r="3" spans="1:12" x14ac:dyDescent="0.2">
      <c r="A3" s="3" t="s">
        <v>14</v>
      </c>
      <c r="B3" t="s">
        <v>2</v>
      </c>
      <c r="C3" t="str">
        <f t="shared" ref="C3:C22" si="6">SUBSTITUTE(TRIM(RIGHT(SUBSTITUTE(A3," ",REPT(" ",100)),100)),",","")</f>
        <v>userId</v>
      </c>
      <c r="D3" t="str">
        <f t="shared" ref="D3:D22" si="7">"this."&amp;C3 &amp; ","</f>
        <v>this.userId,</v>
      </c>
      <c r="E3" t="str">
        <f>"final " &amp; VLOOKUP(B3,Sheet2!$A$1:$B$4,2,FALSE) &amp; " " &amp; C3 &amp; ";"</f>
        <v>final String userId;</v>
      </c>
      <c r="F3" t="str">
        <f t="shared" si="0"/>
        <v>userId: jsonItem['userId'],</v>
      </c>
      <c r="G3" t="str">
        <f t="shared" si="1"/>
        <v>UserId</v>
      </c>
      <c r="H3" t="str">
        <f t="shared" ref="H3:H21" si="8">"col"&amp;G3</f>
        <v>colUserId</v>
      </c>
      <c r="I3" t="str">
        <f t="shared" si="2"/>
        <v>static const String colUserId= 'userId';</v>
      </c>
      <c r="J3" t="str">
        <f t="shared" si="3"/>
        <v>$colUserId TEXT NOT NULL,</v>
      </c>
      <c r="K3" t="str">
        <f t="shared" si="4"/>
        <v>HasherEventMapTableHelper.colUserId: item.userId,</v>
      </c>
      <c r="L3" t="str">
        <f t="shared" si="5"/>
        <v>userId: map[HasherEventMapTableHelper.colUserId],</v>
      </c>
    </row>
    <row r="4" spans="1:12" x14ac:dyDescent="0.2">
      <c r="A4" s="3" t="s">
        <v>15</v>
      </c>
      <c r="B4" t="s">
        <v>2</v>
      </c>
      <c r="C4" t="str">
        <f t="shared" si="6"/>
        <v>eventId</v>
      </c>
      <c r="D4" t="str">
        <f t="shared" si="7"/>
        <v>this.eventId,</v>
      </c>
      <c r="E4" t="str">
        <f>"final " &amp; VLOOKUP(B4,Sheet2!$A$1:$B$4,2,FALSE) &amp; " " &amp; C4 &amp; ";"</f>
        <v>final String eventId;</v>
      </c>
      <c r="F4" t="str">
        <f t="shared" si="0"/>
        <v>eventId: jsonItem['eventId'],</v>
      </c>
      <c r="G4" t="str">
        <f t="shared" si="1"/>
        <v>EventId</v>
      </c>
      <c r="H4" t="str">
        <f t="shared" si="8"/>
        <v>colEventId</v>
      </c>
      <c r="I4" t="str">
        <f t="shared" si="2"/>
        <v>static const String colEventId= 'eventId';</v>
      </c>
      <c r="J4" t="str">
        <f t="shared" si="3"/>
        <v>$colEventId TEXT NOT NULL,</v>
      </c>
      <c r="K4" t="str">
        <f t="shared" si="4"/>
        <v>HasherEventMapTableHelper.colEventId: item.eventId,</v>
      </c>
      <c r="L4" t="str">
        <f t="shared" si="5"/>
        <v>eventId: map[HasherEventMapTableHelper.colEventId],</v>
      </c>
    </row>
    <row r="5" spans="1:12" x14ac:dyDescent="0.2">
      <c r="A5" s="3" t="s">
        <v>16</v>
      </c>
      <c r="B5" t="s">
        <v>3</v>
      </c>
      <c r="C5" t="str">
        <f t="shared" si="6"/>
        <v>userStartEvent</v>
      </c>
      <c r="D5" t="str">
        <f t="shared" si="7"/>
        <v>this.userStartEvent,</v>
      </c>
      <c r="E5" t="str">
        <f>"final " &amp; VLOOKUP(B5,Sheet2!$A$1:$B$4,2,FALSE) &amp; " " &amp; C5 &amp; ";"</f>
        <v>final String userStartEvent;</v>
      </c>
      <c r="F5" t="str">
        <f t="shared" si="0"/>
        <v>userStartEvent: jsonItem['userStartEvent'],</v>
      </c>
      <c r="G5" t="str">
        <f t="shared" si="1"/>
        <v>UserStartEvent</v>
      </c>
      <c r="H5" t="str">
        <f t="shared" si="8"/>
        <v>colUserStartEvent</v>
      </c>
      <c r="I5" t="str">
        <f t="shared" si="2"/>
        <v>static const String colUserStartEvent= 'userStartEvent';</v>
      </c>
      <c r="J5" t="str">
        <f t="shared" si="3"/>
        <v>$colUserStartEvent TEXT,</v>
      </c>
      <c r="K5" t="str">
        <f t="shared" si="4"/>
        <v>HasherEventMapTableHelper.colUserStartEvent: item.userStartEvent,</v>
      </c>
      <c r="L5" t="str">
        <f t="shared" si="5"/>
        <v>userStartEvent: map[HasherEventMapTableHelper.colUserStartEvent],</v>
      </c>
    </row>
    <row r="6" spans="1:12" x14ac:dyDescent="0.2">
      <c r="A6" s="3" t="s">
        <v>17</v>
      </c>
      <c r="B6" t="s">
        <v>3</v>
      </c>
      <c r="C6" t="str">
        <f t="shared" si="6"/>
        <v>userEndEvent</v>
      </c>
      <c r="D6" t="str">
        <f t="shared" si="7"/>
        <v>this.userEndEvent,</v>
      </c>
      <c r="E6" t="str">
        <f>"final " &amp; VLOOKUP(B6,Sheet2!$A$1:$B$4,2,FALSE) &amp; " " &amp; C6 &amp; ";"</f>
        <v>final String userEndEvent;</v>
      </c>
      <c r="F6" t="str">
        <f t="shared" si="0"/>
        <v>userEndEvent: jsonItem['userEndEvent'],</v>
      </c>
      <c r="G6" t="str">
        <f t="shared" si="1"/>
        <v>UserEndEvent</v>
      </c>
      <c r="H6" t="str">
        <f t="shared" si="8"/>
        <v>colUserEndEvent</v>
      </c>
      <c r="I6" t="str">
        <f t="shared" si="2"/>
        <v>static const String colUserEndEvent= 'userEndEvent';</v>
      </c>
      <c r="J6" t="str">
        <f t="shared" si="3"/>
        <v>$colUserEndEvent TEXT,</v>
      </c>
      <c r="K6" t="str">
        <f t="shared" si="4"/>
        <v>HasherEventMapTableHelper.colUserEndEvent: item.userEndEvent,</v>
      </c>
      <c r="L6" t="str">
        <f t="shared" si="5"/>
        <v>userEndEvent: map[HasherEventMapTableHelper.colUserEndEvent],</v>
      </c>
    </row>
    <row r="7" spans="1:12" x14ac:dyDescent="0.2">
      <c r="A7" s="3" t="s">
        <v>18</v>
      </c>
      <c r="B7" t="s">
        <v>4</v>
      </c>
      <c r="C7" t="str">
        <f t="shared" si="6"/>
        <v>rsvpState</v>
      </c>
      <c r="D7" t="str">
        <f t="shared" si="7"/>
        <v>this.rsvpState,</v>
      </c>
      <c r="E7" t="str">
        <f>"final " &amp; VLOOKUP(B7,Sheet2!$A$1:$B$4,2,FALSE) &amp; " " &amp; C7 &amp; ";"</f>
        <v>final int rsvpState;</v>
      </c>
      <c r="F7" t="str">
        <f t="shared" si="0"/>
        <v>rsvpState: jsonItem['rsvpState'],</v>
      </c>
      <c r="G7" t="str">
        <f t="shared" si="1"/>
        <v>RsvpState</v>
      </c>
      <c r="H7" t="str">
        <f t="shared" si="8"/>
        <v>colRsvpState</v>
      </c>
      <c r="I7" t="str">
        <f t="shared" si="2"/>
        <v>static const String colRsvpState= 'rsvpState';</v>
      </c>
      <c r="J7" t="str">
        <f t="shared" si="3"/>
        <v>$colRsvpState INT,</v>
      </c>
      <c r="K7" t="str">
        <f t="shared" si="4"/>
        <v>HasherEventMapTableHelper.colRsvpState: item.rsvpState,</v>
      </c>
      <c r="L7" t="str">
        <f t="shared" si="5"/>
        <v>rsvpState: map[HasherEventMapTableHelper.colRsvpState],</v>
      </c>
    </row>
    <row r="8" spans="1:12" x14ac:dyDescent="0.2">
      <c r="A8" s="3" t="s">
        <v>19</v>
      </c>
      <c r="B8" t="s">
        <v>4</v>
      </c>
      <c r="C8" t="str">
        <f t="shared" si="6"/>
        <v>attendenceState</v>
      </c>
      <c r="D8" t="str">
        <f t="shared" si="7"/>
        <v>this.attendenceState,</v>
      </c>
      <c r="E8" t="str">
        <f>"final " &amp; VLOOKUP(B8,Sheet2!$A$1:$B$4,2,FALSE) &amp; " " &amp; C8 &amp; ";"</f>
        <v>final int attendenceState;</v>
      </c>
      <c r="F8" t="str">
        <f t="shared" si="0"/>
        <v>attendenceState: jsonItem['attendenceState'],</v>
      </c>
      <c r="G8" t="str">
        <f t="shared" si="1"/>
        <v>AttendenceState</v>
      </c>
      <c r="H8" t="str">
        <f t="shared" si="8"/>
        <v>colAttendenceState</v>
      </c>
      <c r="I8" t="str">
        <f t="shared" si="2"/>
        <v>static const String colAttendenceState= 'attendenceState';</v>
      </c>
      <c r="J8" t="str">
        <f t="shared" si="3"/>
        <v>$colAttendenceState INT,</v>
      </c>
      <c r="K8" t="str">
        <f t="shared" si="4"/>
        <v>HasherEventMapTableHelper.colAttendenceState: item.attendenceState,</v>
      </c>
      <c r="L8" t="str">
        <f t="shared" si="5"/>
        <v>attendenceState: map[HasherEventMapTableHelper.colAttendenceState],</v>
      </c>
    </row>
    <row r="9" spans="1:12" x14ac:dyDescent="0.2">
      <c r="A9" s="3" t="s">
        <v>20</v>
      </c>
      <c r="B9" t="s">
        <v>4</v>
      </c>
      <c r="C9" t="str">
        <f t="shared" si="6"/>
        <v>isHare</v>
      </c>
      <c r="D9" t="str">
        <f t="shared" si="7"/>
        <v>this.isHare,</v>
      </c>
      <c r="E9" t="str">
        <f>"final " &amp; VLOOKUP(B9,Sheet2!$A$1:$B$4,2,FALSE) &amp; " " &amp; C9 &amp; ";"</f>
        <v>final int isHare;</v>
      </c>
      <c r="F9" t="str">
        <f t="shared" si="0"/>
        <v>isHare: jsonItem['isHare'],</v>
      </c>
      <c r="G9" t="str">
        <f t="shared" si="1"/>
        <v>IsHare</v>
      </c>
      <c r="H9" t="str">
        <f t="shared" si="8"/>
        <v>colIsHare</v>
      </c>
      <c r="I9" t="str">
        <f t="shared" si="2"/>
        <v>static const String colIsHare= 'isHare';</v>
      </c>
      <c r="J9" t="str">
        <f t="shared" si="3"/>
        <v>$colIsHare INT,</v>
      </c>
      <c r="K9" t="str">
        <f t="shared" si="4"/>
        <v>HasherEventMapTableHelper.colIsHare: item.isHare,</v>
      </c>
      <c r="L9" t="str">
        <f t="shared" si="5"/>
        <v>isHare: map[HasherEventMapTableHelper.colIsHare],</v>
      </c>
    </row>
    <row r="10" spans="1:12" x14ac:dyDescent="0.2">
      <c r="A10" s="3" t="s">
        <v>21</v>
      </c>
      <c r="B10" t="s">
        <v>5</v>
      </c>
      <c r="C10" t="str">
        <f t="shared" si="6"/>
        <v>eventCountOverride</v>
      </c>
      <c r="D10" t="str">
        <f t="shared" si="7"/>
        <v>this.eventCountOverride,</v>
      </c>
      <c r="E10" t="str">
        <f>"final " &amp; VLOOKUP(B10,Sheet2!$A$1:$B$4,2,FALSE) &amp; " " &amp; C10 &amp; ";"</f>
        <v>final num eventCountOverride;</v>
      </c>
      <c r="F10" t="str">
        <f t="shared" si="0"/>
        <v>eventCountOverride: jsonItem['eventCountOverride'],</v>
      </c>
      <c r="G10" t="str">
        <f t="shared" si="1"/>
        <v>EventCountOverride</v>
      </c>
      <c r="H10" t="str">
        <f t="shared" si="8"/>
        <v>colEventCountOverride</v>
      </c>
      <c r="I10" t="str">
        <f t="shared" si="2"/>
        <v>static const String colEventCountOverride= 'eventCountOverride';</v>
      </c>
      <c r="J10" t="str">
        <f t="shared" si="3"/>
        <v>$colEventCountOverride NUM,</v>
      </c>
      <c r="K10" t="str">
        <f t="shared" si="4"/>
        <v>HasherEventMapTableHelper.colEventCountOverride: item.eventCountOverride,</v>
      </c>
      <c r="L10" t="str">
        <f t="shared" si="5"/>
        <v>eventCountOverride: map[HasherEventMapTableHelper.colEventCountOverride],</v>
      </c>
    </row>
    <row r="11" spans="1:12" x14ac:dyDescent="0.2">
      <c r="A11" s="1"/>
      <c r="B11" t="s">
        <v>5</v>
      </c>
      <c r="C11" t="str">
        <f t="shared" si="6"/>
        <v/>
      </c>
      <c r="D11" t="str">
        <f t="shared" si="7"/>
        <v>this.,</v>
      </c>
      <c r="E11" t="str">
        <f>"final " &amp; VLOOKUP(B11,Sheet2!$A$1:$B$4,2,FALSE) &amp; " " &amp; C11 &amp; ";"</f>
        <v>final num ;</v>
      </c>
      <c r="F11" t="str">
        <f t="shared" si="0"/>
        <v>: jsonItem[''],</v>
      </c>
      <c r="G11" t="str">
        <f t="shared" si="1"/>
        <v/>
      </c>
      <c r="H11" t="str">
        <f t="shared" si="8"/>
        <v>col</v>
      </c>
      <c r="I11" t="str">
        <f t="shared" si="2"/>
        <v>static const String col= '';</v>
      </c>
      <c r="J11" t="str">
        <f t="shared" si="3"/>
        <v>$col NUM,</v>
      </c>
      <c r="K11" t="str">
        <f t="shared" si="4"/>
        <v>HasherEventMapTableHelper.col: item.,</v>
      </c>
      <c r="L11" t="str">
        <f t="shared" si="5"/>
        <v>: map[HasherEventMapTableHelper.col],</v>
      </c>
    </row>
    <row r="12" spans="1:12" x14ac:dyDescent="0.2">
      <c r="A12" s="1"/>
      <c r="B12" t="s">
        <v>4</v>
      </c>
      <c r="C12" t="str">
        <f t="shared" si="6"/>
        <v/>
      </c>
      <c r="D12" t="str">
        <f t="shared" si="7"/>
        <v>this.,</v>
      </c>
      <c r="E12" t="str">
        <f>"final " &amp; VLOOKUP(B12,Sheet2!$A$1:$B$4,2,FALSE) &amp; " " &amp; C12 &amp; ";"</f>
        <v>final int ;</v>
      </c>
      <c r="F12" t="str">
        <f t="shared" si="0"/>
        <v>: jsonItem[''],</v>
      </c>
      <c r="G12" t="str">
        <f t="shared" si="1"/>
        <v/>
      </c>
      <c r="H12" t="str">
        <f t="shared" si="8"/>
        <v>col</v>
      </c>
      <c r="I12" t="str">
        <f t="shared" si="2"/>
        <v>static const String col= '';</v>
      </c>
      <c r="J12" t="str">
        <f t="shared" si="3"/>
        <v>$col INT,</v>
      </c>
      <c r="K12" t="str">
        <f t="shared" si="4"/>
        <v>HasherEventMapTableHelper.col: item.,</v>
      </c>
      <c r="L12" t="str">
        <f t="shared" si="5"/>
        <v>: map[HasherEventMapTableHelper.col],</v>
      </c>
    </row>
    <row r="13" spans="1:12" x14ac:dyDescent="0.2">
      <c r="A13" s="1"/>
      <c r="B13" t="s">
        <v>3</v>
      </c>
      <c r="C13" t="str">
        <f t="shared" si="6"/>
        <v/>
      </c>
      <c r="D13" t="str">
        <f t="shared" si="7"/>
        <v>this.,</v>
      </c>
      <c r="E13" t="str">
        <f>"final " &amp; VLOOKUP(B13,Sheet2!$A$1:$B$4,2,FALSE) &amp; " " &amp; C13 &amp; ";"</f>
        <v>final String ;</v>
      </c>
      <c r="F13" t="str">
        <f t="shared" si="0"/>
        <v>: jsonItem[''],</v>
      </c>
      <c r="G13" t="str">
        <f t="shared" si="1"/>
        <v/>
      </c>
      <c r="H13" t="str">
        <f t="shared" si="8"/>
        <v>col</v>
      </c>
      <c r="I13" t="str">
        <f t="shared" si="2"/>
        <v>static const String col= '';</v>
      </c>
      <c r="J13" t="str">
        <f t="shared" si="3"/>
        <v>$col TEXT,</v>
      </c>
      <c r="K13" t="str">
        <f t="shared" si="4"/>
        <v>HasherEventMapTableHelper.col: item.,</v>
      </c>
      <c r="L13" t="str">
        <f t="shared" si="5"/>
        <v>: map[HasherEventMapTableHelper.col],</v>
      </c>
    </row>
    <row r="14" spans="1:12" x14ac:dyDescent="0.2">
      <c r="B14" t="s">
        <v>4</v>
      </c>
      <c r="C14" t="str">
        <f t="shared" si="6"/>
        <v/>
      </c>
      <c r="D14" t="str">
        <f t="shared" si="7"/>
        <v>this.,</v>
      </c>
      <c r="F14" t="str">
        <f t="shared" si="0"/>
        <v>: jsonItem[''],</v>
      </c>
      <c r="G14" t="str">
        <f t="shared" si="1"/>
        <v/>
      </c>
      <c r="H14" t="str">
        <f t="shared" si="8"/>
        <v>col</v>
      </c>
      <c r="I14" t="str">
        <f t="shared" si="2"/>
        <v>static const String col= '';</v>
      </c>
      <c r="J14" t="str">
        <f t="shared" si="3"/>
        <v>$col INT,</v>
      </c>
      <c r="K14" t="str">
        <f t="shared" si="4"/>
        <v>HasherEventMapTableHelper.col: item.,</v>
      </c>
      <c r="L14" t="str">
        <f t="shared" si="5"/>
        <v>: map[HasherEventMapTableHelper.col],</v>
      </c>
    </row>
    <row r="15" spans="1:12" x14ac:dyDescent="0.2">
      <c r="B15" t="s">
        <v>5</v>
      </c>
      <c r="C15" t="str">
        <f t="shared" si="6"/>
        <v/>
      </c>
      <c r="D15" t="str">
        <f t="shared" si="7"/>
        <v>this.,</v>
      </c>
      <c r="F15" t="str">
        <f t="shared" si="0"/>
        <v>: jsonItem[''],</v>
      </c>
      <c r="G15" t="str">
        <f t="shared" si="1"/>
        <v/>
      </c>
      <c r="H15" t="str">
        <f t="shared" si="8"/>
        <v>col</v>
      </c>
      <c r="I15" t="str">
        <f t="shared" si="2"/>
        <v>static const String col= '';</v>
      </c>
      <c r="J15" t="str">
        <f t="shared" si="3"/>
        <v>$col NUM,</v>
      </c>
      <c r="K15" t="str">
        <f t="shared" si="4"/>
        <v>HasherEventMapTableHelper.col: item.,</v>
      </c>
      <c r="L15" t="str">
        <f t="shared" si="5"/>
        <v>: map[HasherEventMapTableHelper.col],</v>
      </c>
    </row>
    <row r="16" spans="1:12" x14ac:dyDescent="0.2">
      <c r="B16" t="s">
        <v>5</v>
      </c>
      <c r="C16" t="str">
        <f t="shared" si="6"/>
        <v/>
      </c>
      <c r="D16" t="str">
        <f t="shared" si="7"/>
        <v>this.,</v>
      </c>
      <c r="F16" t="str">
        <f t="shared" si="0"/>
        <v>: jsonItem[''],</v>
      </c>
      <c r="G16" t="str">
        <f t="shared" si="1"/>
        <v/>
      </c>
      <c r="H16" t="str">
        <f t="shared" si="8"/>
        <v>col</v>
      </c>
      <c r="I16" t="str">
        <f t="shared" si="2"/>
        <v>static const String col= '';</v>
      </c>
      <c r="J16" t="str">
        <f t="shared" si="3"/>
        <v>$col NUM,</v>
      </c>
      <c r="K16" t="str">
        <f t="shared" si="4"/>
        <v>HasherEventMapTableHelper.col: item.,</v>
      </c>
      <c r="L16" t="str">
        <f t="shared" si="5"/>
        <v>: map[HasherEventMapTableHelper.col],</v>
      </c>
    </row>
    <row r="17" spans="2:12" x14ac:dyDescent="0.2">
      <c r="B17" t="s">
        <v>5</v>
      </c>
      <c r="C17" t="str">
        <f t="shared" si="6"/>
        <v/>
      </c>
      <c r="D17" t="str">
        <f t="shared" si="7"/>
        <v>this.,</v>
      </c>
      <c r="F17" t="str">
        <f t="shared" si="0"/>
        <v>: jsonItem[''],</v>
      </c>
      <c r="G17" t="str">
        <f t="shared" si="1"/>
        <v/>
      </c>
      <c r="H17" t="str">
        <f t="shared" si="8"/>
        <v>col</v>
      </c>
      <c r="I17" t="str">
        <f t="shared" si="2"/>
        <v>static const String col= '';</v>
      </c>
      <c r="J17" t="str">
        <f t="shared" si="3"/>
        <v>$col NUM,</v>
      </c>
      <c r="K17" t="str">
        <f t="shared" si="4"/>
        <v>HasherEventMapTableHelper.col: item.,</v>
      </c>
      <c r="L17" t="str">
        <f t="shared" si="5"/>
        <v>: map[HasherEventMapTableHelper.col],</v>
      </c>
    </row>
    <row r="18" spans="2:12" x14ac:dyDescent="0.2">
      <c r="B18" t="s">
        <v>5</v>
      </c>
      <c r="C18" t="str">
        <f t="shared" si="6"/>
        <v/>
      </c>
      <c r="D18" t="str">
        <f t="shared" si="7"/>
        <v>this.,</v>
      </c>
      <c r="F18" t="str">
        <f t="shared" si="0"/>
        <v>: jsonItem[''],</v>
      </c>
      <c r="G18" t="str">
        <f t="shared" si="1"/>
        <v/>
      </c>
      <c r="H18" t="str">
        <f t="shared" si="8"/>
        <v>col</v>
      </c>
      <c r="I18" t="str">
        <f t="shared" si="2"/>
        <v>static const String col= '';</v>
      </c>
      <c r="J18" t="str">
        <f t="shared" si="3"/>
        <v>$col NUM,</v>
      </c>
      <c r="K18" t="str">
        <f t="shared" si="4"/>
        <v>HasherEventMapTableHelper.col: item.,</v>
      </c>
      <c r="L18" t="str">
        <f t="shared" si="5"/>
        <v>: map[HasherEventMapTableHelper.col],</v>
      </c>
    </row>
    <row r="19" spans="2:12" x14ac:dyDescent="0.2">
      <c r="B19" t="s">
        <v>3</v>
      </c>
      <c r="C19" t="str">
        <f t="shared" si="6"/>
        <v/>
      </c>
      <c r="D19" t="str">
        <f t="shared" si="7"/>
        <v>this.,</v>
      </c>
      <c r="F19" t="str">
        <f t="shared" si="0"/>
        <v>: jsonItem[''],</v>
      </c>
      <c r="G19" t="str">
        <f t="shared" si="1"/>
        <v/>
      </c>
      <c r="H19" t="str">
        <f t="shared" si="8"/>
        <v>col</v>
      </c>
      <c r="I19" t="str">
        <f t="shared" si="2"/>
        <v>static const String col= '';</v>
      </c>
      <c r="J19" t="str">
        <f t="shared" si="3"/>
        <v>$col TEXT,</v>
      </c>
      <c r="K19" t="str">
        <f t="shared" si="4"/>
        <v>HasherEventMapTableHelper.col: item.,</v>
      </c>
      <c r="L19" t="str">
        <f t="shared" si="5"/>
        <v>: map[HasherEventMapTableHelper.col],</v>
      </c>
    </row>
    <row r="20" spans="2:12" x14ac:dyDescent="0.2">
      <c r="B20" t="s">
        <v>3</v>
      </c>
      <c r="C20" t="str">
        <f t="shared" si="6"/>
        <v/>
      </c>
      <c r="D20" t="str">
        <f t="shared" si="7"/>
        <v>this.,</v>
      </c>
      <c r="F20" t="str">
        <f t="shared" si="0"/>
        <v>: jsonItem[''],</v>
      </c>
      <c r="G20" t="str">
        <f t="shared" si="1"/>
        <v/>
      </c>
      <c r="H20" t="str">
        <f t="shared" si="8"/>
        <v>col</v>
      </c>
      <c r="I20" t="str">
        <f t="shared" si="2"/>
        <v>static const String col= '';</v>
      </c>
      <c r="J20" t="str">
        <f t="shared" si="3"/>
        <v>$col TEXT,</v>
      </c>
      <c r="K20" t="str">
        <f t="shared" si="4"/>
        <v>HasherEventMapTableHelper.col: item.,</v>
      </c>
      <c r="L20" t="str">
        <f t="shared" si="5"/>
        <v>: map[HasherEventMapTableHelper.col],</v>
      </c>
    </row>
    <row r="21" spans="2:12" x14ac:dyDescent="0.2">
      <c r="B21" t="s">
        <v>4</v>
      </c>
      <c r="C21" t="str">
        <f t="shared" si="6"/>
        <v/>
      </c>
      <c r="D21" t="str">
        <f t="shared" si="7"/>
        <v>this.,</v>
      </c>
      <c r="F21" t="str">
        <f t="shared" si="0"/>
        <v>: jsonItem[''],</v>
      </c>
      <c r="G21" t="str">
        <f t="shared" si="1"/>
        <v/>
      </c>
      <c r="H21" t="str">
        <f t="shared" si="8"/>
        <v>col</v>
      </c>
      <c r="I21" t="str">
        <f t="shared" si="2"/>
        <v>static const String col= '';</v>
      </c>
      <c r="J21" t="str">
        <f t="shared" si="3"/>
        <v>$col INT,</v>
      </c>
      <c r="K21" t="str">
        <f t="shared" si="4"/>
        <v>HasherEventMapTableHelper.col: item.,</v>
      </c>
      <c r="L21" t="str">
        <f t="shared" si="5"/>
        <v>: map[HasherEventMapTableHelper.col],</v>
      </c>
    </row>
    <row r="22" spans="2:12" x14ac:dyDescent="0.2">
      <c r="C22" t="str">
        <f t="shared" si="6"/>
        <v/>
      </c>
      <c r="D22" t="str">
        <f t="shared" si="7"/>
        <v>this.,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0582-5E61-2D4A-9CD9-5C46FBEF9BBC}">
  <dimension ref="A1:B4"/>
  <sheetViews>
    <sheetView workbookViewId="0">
      <selection activeCell="B4" sqref="B4"/>
    </sheetView>
  </sheetViews>
  <sheetFormatPr baseColWidth="10" defaultRowHeight="16" x14ac:dyDescent="0.2"/>
  <cols>
    <col min="1" max="1" width="14.1640625" bestFit="1" customWidth="1"/>
  </cols>
  <sheetData>
    <row r="1" spans="1:2" x14ac:dyDescent="0.2">
      <c r="A1" t="s">
        <v>3</v>
      </c>
      <c r="B1" t="s">
        <v>10</v>
      </c>
    </row>
    <row r="2" spans="1:2" x14ac:dyDescent="0.2">
      <c r="A2" t="s">
        <v>2</v>
      </c>
      <c r="B2" t="s">
        <v>10</v>
      </c>
    </row>
    <row r="3" spans="1:2" x14ac:dyDescent="0.2">
      <c r="A3" t="s">
        <v>4</v>
      </c>
      <c r="B3" t="s">
        <v>11</v>
      </c>
    </row>
    <row r="4" spans="1:2" x14ac:dyDescent="0.2">
      <c r="A4" t="s">
        <v>5</v>
      </c>
      <c r="B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2019-04-21T14:42:26Z</dcterms:created>
  <dcterms:modified xsi:type="dcterms:W3CDTF">2019-04-22T13:37:28Z</dcterms:modified>
</cp:coreProperties>
</file>