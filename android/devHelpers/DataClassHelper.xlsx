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hite/Downloads/"/>
    </mc:Choice>
  </mc:AlternateContent>
  <xr:revisionPtr revIDLastSave="0" documentId="8_{E75EC70D-69D1-EB44-8226-3503EB7078EB}" xr6:coauthVersionLast="38" xr6:coauthVersionMax="38" xr10:uidLastSave="{00000000-0000-0000-0000-000000000000}"/>
  <bookViews>
    <workbookView xWindow="0" yWindow="0" windowWidth="33600" windowHeight="21000" xr2:uid="{50A37692-8663-7F4C-91F6-2AE3BA380A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  <c r="C10" i="1"/>
  <c r="C11" i="1"/>
  <c r="C12" i="1"/>
  <c r="C13" i="1"/>
  <c r="C14" i="1"/>
  <c r="C15" i="1"/>
  <c r="C16" i="1"/>
  <c r="C17" i="1"/>
  <c r="C18" i="1"/>
  <c r="C19" i="1"/>
  <c r="C20" i="1"/>
  <c r="C21" i="1"/>
  <c r="C3" i="1"/>
  <c r="C4" i="1"/>
  <c r="C5" i="1"/>
  <c r="C6" i="1"/>
  <c r="C7" i="1"/>
  <c r="C8" i="1"/>
  <c r="C9" i="1"/>
  <c r="C2" i="1"/>
</calcChain>
</file>

<file path=xl/sharedStrings.xml><?xml version="1.0" encoding="utf-8"?>
<sst xmlns="http://schemas.openxmlformats.org/spreadsheetml/2006/main" count="43" uniqueCount="27">
  <si>
    <t>removed</t>
  </si>
  <si>
    <t>kennelId</t>
  </si>
  <si>
    <t>cityId</t>
  </si>
  <si>
    <t>regionId</t>
  </si>
  <si>
    <t>countryId</t>
  </si>
  <si>
    <t>kennelName</t>
  </si>
  <si>
    <t>kennelShortName</t>
  </si>
  <si>
    <t>kennelDescription</t>
  </si>
  <si>
    <t>kennelLogo</t>
  </si>
  <si>
    <t>kennelCoverPhoto</t>
  </si>
  <si>
    <t>kennelWebsiteUrl</t>
  </si>
  <si>
    <t>defaultEventCurrencyType</t>
  </si>
  <si>
    <t>kennelStatus</t>
  </si>
  <si>
    <t>allowNegativeCredit</t>
  </si>
  <si>
    <t>latitude</t>
  </si>
  <si>
    <t>longitude</t>
  </si>
  <si>
    <t>defaultPriceForMembers</t>
  </si>
  <si>
    <t>defaultPriceForNonMembers</t>
  </si>
  <si>
    <t>defaultRunStartTime</t>
  </si>
  <si>
    <t>updatedAt</t>
  </si>
  <si>
    <t>wireName</t>
  </si>
  <si>
    <t>dataType</t>
  </si>
  <si>
    <t>TEXT NOT NULL</t>
  </si>
  <si>
    <t>TEXT</t>
  </si>
  <si>
    <t>INT</t>
  </si>
  <si>
    <t>NUM</t>
  </si>
  <si>
    <t>KennelsTableHelper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</si>
</sst>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ABA0-45A3-CE41-BCC1-A3347CEBD28F}">
  <dimension ref="A1:I21"/>
  <sheetViews>
    <sheetView tabSelected="1" topLeftCell="D1" workbookViewId="0">
      <selection activeCell="I2" sqref="I2:I21"/>
    </sheetView>
  </sheetViews>
  <sheetFormatPr baseColWidth="10" defaultRowHeight="16" x14ac:dyDescent="0.2"/>
  <cols>
    <col min="1" max="1" width="43.33203125" customWidth="1"/>
    <col min="2" max="2" width="14.1640625" bestFit="1" customWidth="1"/>
    <col min="3" max="3" width="61" bestFit="1" customWidth="1"/>
    <col min="4" max="4" width="25.33203125" bestFit="1" customWidth="1"/>
    <col min="5" max="5" width="27.83203125" bestFit="1" customWidth="1"/>
    <col min="6" max="6" width="71" bestFit="1" customWidth="1"/>
    <col min="7" max="7" width="34.33203125" bestFit="1" customWidth="1"/>
    <col min="8" max="8" width="75.5" bestFit="1" customWidth="1"/>
  </cols>
  <sheetData>
    <row r="1" spans="1:9" x14ac:dyDescent="0.2">
      <c r="A1" t="s">
        <v>20</v>
      </c>
      <c r="B1" t="s">
        <v>21</v>
      </c>
      <c r="H1" t="s">
        <v>26</v>
      </c>
    </row>
    <row r="2" spans="1:9" x14ac:dyDescent="0.2">
      <c r="A2" t="s">
        <v>1</v>
      </c>
      <c r="B2" t="s">
        <v>22</v>
      </c>
      <c r="C2" t="str">
        <f>A2&amp;": jsonItem['"&amp;A2&amp;"'],"</f>
        <v>kennelId: jsonItem['kennelId'],</v>
      </c>
      <c r="D2" t="str">
        <f>UPPER(MID(A2,1,1)) &amp; MID(A2,2,9999)</f>
        <v>KennelId</v>
      </c>
      <c r="E2" t="str">
        <f>"col"&amp;D2</f>
        <v>colKennelId</v>
      </c>
      <c r="F2" t="str">
        <f>"static const String "&amp;E2&amp;"= '"&amp;A2&amp;"';"</f>
        <v>static const String colKennelId= 'kennelId';</v>
      </c>
      <c r="G2" t="str">
        <f>"$"&amp;E2&amp;" "&amp;B2&amp;","</f>
        <v>$colKennelId TEXT NOT NULL,</v>
      </c>
      <c r="H2" t="str">
        <f>$H$1&amp;"."&amp;E2&amp;": item."&amp;A2&amp;","</f>
        <v>KennelsTableHelper.colKennelId: item.kennelId,</v>
      </c>
      <c r="I2" t="str">
        <f>A2&amp;": map["&amp;$H$1&amp;"."&amp;E2&amp;"],"</f>
        <v>kennelId: map[KennelsTableHelper.colKennelId],</v>
      </c>
    </row>
    <row r="3" spans="1:9" x14ac:dyDescent="0.2">
      <c r="A3" t="s">
        <v>2</v>
      </c>
      <c r="B3" t="s">
        <v>22</v>
      </c>
      <c r="C3" t="str">
        <f t="shared" ref="C3:C21" si="0">A3&amp;": jsonItem['"&amp;A3&amp;"'],"</f>
        <v>cityId: jsonItem['cityId'],</v>
      </c>
      <c r="D3" t="str">
        <f t="shared" ref="D3:D21" si="1">UPPER(MID(A3,1,1)) &amp; MID(A3,2,9999)</f>
        <v>CityId</v>
      </c>
      <c r="E3" t="str">
        <f t="shared" ref="E3:E21" si="2">"col"&amp;D3</f>
        <v>colCityId</v>
      </c>
      <c r="F3" t="str">
        <f t="shared" ref="F3:F21" si="3">"static const String "&amp;E3&amp;"= '"&amp;A3&amp;"';"</f>
        <v>static const String colCityId= 'cityId';</v>
      </c>
      <c r="G3" t="str">
        <f t="shared" ref="G3:G21" si="4">"$"&amp;E3&amp;" "&amp;B3&amp;","</f>
        <v>$colCityId TEXT NOT NULL,</v>
      </c>
      <c r="H3" t="str">
        <f t="shared" ref="H3:H21" si="5">$H$1&amp;"."&amp;E3&amp;": item."&amp;A3&amp;","</f>
        <v>KennelsTableHelper.colCityId: item.cityId,</v>
      </c>
      <c r="I3" t="str">
        <f t="shared" ref="I3:I21" si="6">A3&amp;": map["&amp;$H$1&amp;"."&amp;E3&amp;"],"</f>
        <v>cityId: map[KennelsTableHelper.colCityId],</v>
      </c>
    </row>
    <row r="4" spans="1:9" x14ac:dyDescent="0.2">
      <c r="A4" t="s">
        <v>3</v>
      </c>
      <c r="B4" t="s">
        <v>22</v>
      </c>
      <c r="C4" t="str">
        <f t="shared" si="0"/>
        <v>regionId: jsonItem['regionId'],</v>
      </c>
      <c r="D4" t="str">
        <f t="shared" si="1"/>
        <v>RegionId</v>
      </c>
      <c r="E4" t="str">
        <f t="shared" si="2"/>
        <v>colRegionId</v>
      </c>
      <c r="F4" t="str">
        <f t="shared" si="3"/>
        <v>static const String colRegionId= 'regionId';</v>
      </c>
      <c r="G4" t="str">
        <f t="shared" si="4"/>
        <v>$colRegionId TEXT NOT NULL,</v>
      </c>
      <c r="H4" t="str">
        <f t="shared" si="5"/>
        <v>KennelsTableHelper.colRegionId: item.regionId,</v>
      </c>
      <c r="I4" t="str">
        <f t="shared" si="6"/>
        <v>regionId: map[KennelsTableHelper.colRegionId],</v>
      </c>
    </row>
    <row r="5" spans="1:9" x14ac:dyDescent="0.2">
      <c r="A5" t="s">
        <v>4</v>
      </c>
      <c r="B5" t="s">
        <v>22</v>
      </c>
      <c r="C5" t="str">
        <f t="shared" si="0"/>
        <v>countryId: jsonItem['countryId'],</v>
      </c>
      <c r="D5" t="str">
        <f t="shared" si="1"/>
        <v>CountryId</v>
      </c>
      <c r="E5" t="str">
        <f t="shared" si="2"/>
        <v>colCountryId</v>
      </c>
      <c r="F5" t="str">
        <f t="shared" si="3"/>
        <v>static const String colCountryId= 'countryId';</v>
      </c>
      <c r="G5" t="str">
        <f t="shared" si="4"/>
        <v>$colCountryId TEXT NOT NULL,</v>
      </c>
      <c r="H5" t="str">
        <f t="shared" si="5"/>
        <v>KennelsTableHelper.colCountryId: item.countryId,</v>
      </c>
      <c r="I5" t="str">
        <f t="shared" si="6"/>
        <v>countryId: map[KennelsTableHelper.colCountryId],</v>
      </c>
    </row>
    <row r="6" spans="1:9" x14ac:dyDescent="0.2">
      <c r="A6" t="s">
        <v>5</v>
      </c>
      <c r="B6" t="s">
        <v>22</v>
      </c>
      <c r="C6" t="str">
        <f t="shared" si="0"/>
        <v>kennelName: jsonItem['kennelName'],</v>
      </c>
      <c r="D6" t="str">
        <f t="shared" si="1"/>
        <v>KennelName</v>
      </c>
      <c r="E6" t="str">
        <f t="shared" si="2"/>
        <v>colKennelName</v>
      </c>
      <c r="F6" t="str">
        <f t="shared" si="3"/>
        <v>static const String colKennelName= 'kennelName';</v>
      </c>
      <c r="G6" t="str">
        <f t="shared" si="4"/>
        <v>$colKennelName TEXT NOT NULL,</v>
      </c>
      <c r="H6" t="str">
        <f t="shared" si="5"/>
        <v>KennelsTableHelper.colKennelName: item.kennelName,</v>
      </c>
      <c r="I6" t="str">
        <f t="shared" si="6"/>
        <v>kennelName: map[KennelsTableHelper.colKennelName],</v>
      </c>
    </row>
    <row r="7" spans="1:9" x14ac:dyDescent="0.2">
      <c r="A7" t="s">
        <v>6</v>
      </c>
      <c r="B7" t="s">
        <v>22</v>
      </c>
      <c r="C7" t="str">
        <f t="shared" si="0"/>
        <v>kennelShortName: jsonItem['kennelShortName'],</v>
      </c>
      <c r="D7" t="str">
        <f t="shared" si="1"/>
        <v>KennelShortName</v>
      </c>
      <c r="E7" t="str">
        <f t="shared" si="2"/>
        <v>colKennelShortName</v>
      </c>
      <c r="F7" t="str">
        <f t="shared" si="3"/>
        <v>static const String colKennelShortName= 'kennelShortName';</v>
      </c>
      <c r="G7" t="str">
        <f t="shared" si="4"/>
        <v>$colKennelShortName TEXT NOT NULL,</v>
      </c>
      <c r="H7" t="str">
        <f t="shared" si="5"/>
        <v>KennelsTableHelper.colKennelShortName: item.kennelShortName,</v>
      </c>
      <c r="I7" t="str">
        <f t="shared" si="6"/>
        <v>kennelShortName: map[KennelsTableHelper.colKennelShortName],</v>
      </c>
    </row>
    <row r="8" spans="1:9" x14ac:dyDescent="0.2">
      <c r="A8" t="s">
        <v>7</v>
      </c>
      <c r="B8" t="s">
        <v>23</v>
      </c>
      <c r="C8" t="str">
        <f t="shared" si="0"/>
        <v>kennelDescription: jsonItem['kennelDescription'],</v>
      </c>
      <c r="D8" t="str">
        <f t="shared" si="1"/>
        <v>KennelDescription</v>
      </c>
      <c r="E8" t="str">
        <f t="shared" si="2"/>
        <v>colKennelDescription</v>
      </c>
      <c r="F8" t="str">
        <f t="shared" si="3"/>
        <v>static const String colKennelDescription= 'kennelDescription';</v>
      </c>
      <c r="G8" t="str">
        <f t="shared" si="4"/>
        <v>$colKennelDescription TEXT,</v>
      </c>
      <c r="H8" t="str">
        <f t="shared" si="5"/>
        <v>KennelsTableHelper.colKennelDescription: item.kennelDescription,</v>
      </c>
      <c r="I8" t="str">
        <f t="shared" si="6"/>
        <v>kennelDescription: map[KennelsTableHelper.colKennelDescription],</v>
      </c>
    </row>
    <row r="9" spans="1:9" x14ac:dyDescent="0.2">
      <c r="A9" t="s">
        <v>8</v>
      </c>
      <c r="B9" t="s">
        <v>23</v>
      </c>
      <c r="C9" t="str">
        <f t="shared" si="0"/>
        <v>kennelLogo: jsonItem['kennelLogo'],</v>
      </c>
      <c r="D9" t="str">
        <f t="shared" si="1"/>
        <v>KennelLogo</v>
      </c>
      <c r="E9" t="str">
        <f t="shared" si="2"/>
        <v>colKennelLogo</v>
      </c>
      <c r="F9" t="str">
        <f t="shared" si="3"/>
        <v>static const String colKennelLogo= 'kennelLogo';</v>
      </c>
      <c r="G9" t="str">
        <f t="shared" si="4"/>
        <v>$colKennelLogo TEXT,</v>
      </c>
      <c r="H9" t="str">
        <f t="shared" si="5"/>
        <v>KennelsTableHelper.colKennelLogo: item.kennelLogo,</v>
      </c>
      <c r="I9" t="str">
        <f t="shared" si="6"/>
        <v>kennelLogo: map[KennelsTableHelper.colKennelLogo],</v>
      </c>
    </row>
    <row r="10" spans="1:9" x14ac:dyDescent="0.2">
      <c r="A10" t="s">
        <v>9</v>
      </c>
      <c r="B10" t="s">
        <v>23</v>
      </c>
      <c r="C10" t="str">
        <f t="shared" si="0"/>
        <v>kennelCoverPhoto: jsonItem['kennelCoverPhoto'],</v>
      </c>
      <c r="D10" t="str">
        <f t="shared" si="1"/>
        <v>KennelCoverPhoto</v>
      </c>
      <c r="E10" t="str">
        <f t="shared" si="2"/>
        <v>colKennelCoverPhoto</v>
      </c>
      <c r="F10" t="str">
        <f t="shared" si="3"/>
        <v>static const String colKennelCoverPhoto= 'kennelCoverPhoto';</v>
      </c>
      <c r="G10" t="str">
        <f t="shared" si="4"/>
        <v>$colKennelCoverPhoto TEXT,</v>
      </c>
      <c r="H10" t="str">
        <f t="shared" si="5"/>
        <v>KennelsTableHelper.colKennelCoverPhoto: item.kennelCoverPhoto,</v>
      </c>
      <c r="I10" t="str">
        <f t="shared" si="6"/>
        <v>kennelCoverPhoto: map[KennelsTableHelper.colKennelCoverPhoto],</v>
      </c>
    </row>
    <row r="11" spans="1:9" x14ac:dyDescent="0.2">
      <c r="A11" t="s">
        <v>10</v>
      </c>
      <c r="B11" t="s">
        <v>23</v>
      </c>
      <c r="C11" t="str">
        <f t="shared" si="0"/>
        <v>kennelWebsiteUrl: jsonItem['kennelWebsiteUrl'],</v>
      </c>
      <c r="D11" t="str">
        <f t="shared" si="1"/>
        <v>KennelWebsiteUrl</v>
      </c>
      <c r="E11" t="str">
        <f t="shared" si="2"/>
        <v>colKennelWebsiteUrl</v>
      </c>
      <c r="F11" t="str">
        <f t="shared" si="3"/>
        <v>static const String colKennelWebsiteUrl= 'kennelWebsiteUrl';</v>
      </c>
      <c r="G11" t="str">
        <f t="shared" si="4"/>
        <v>$colKennelWebsiteUrl TEXT,</v>
      </c>
      <c r="H11" t="str">
        <f t="shared" si="5"/>
        <v>KennelsTableHelper.colKennelWebsiteUrl: item.kennelWebsiteUrl,</v>
      </c>
      <c r="I11" t="str">
        <f t="shared" si="6"/>
        <v>kennelWebsiteUrl: map[KennelsTableHelper.colKennelWebsiteUrl],</v>
      </c>
    </row>
    <row r="12" spans="1:9" x14ac:dyDescent="0.2">
      <c r="A12" t="s">
        <v>11</v>
      </c>
      <c r="B12" t="s">
        <v>23</v>
      </c>
      <c r="C12" t="str">
        <f t="shared" si="0"/>
        <v>defaultEventCurrencyType: jsonItem['defaultEventCurrencyType'],</v>
      </c>
      <c r="D12" t="str">
        <f t="shared" si="1"/>
        <v>DefaultEventCurrencyType</v>
      </c>
      <c r="E12" t="str">
        <f t="shared" si="2"/>
        <v>colDefaultEventCurrencyType</v>
      </c>
      <c r="F12" t="str">
        <f t="shared" si="3"/>
        <v>static const String colDefaultEventCurrencyType= 'defaultEventCurrencyType';</v>
      </c>
      <c r="G12" t="str">
        <f t="shared" si="4"/>
        <v>$colDefaultEventCurrencyType TEXT,</v>
      </c>
      <c r="H12" t="str">
        <f t="shared" si="5"/>
        <v>KennelsTableHelper.colDefaultEventCurrencyType: item.defaultEventCurrencyType,</v>
      </c>
      <c r="I12" t="str">
        <f t="shared" si="6"/>
        <v>defaultEventCurrencyType: map[KennelsTableHelper.colDefaultEventCurrencyType],</v>
      </c>
    </row>
    <row r="13" spans="1:9" x14ac:dyDescent="0.2">
      <c r="A13" t="s">
        <v>12</v>
      </c>
      <c r="B13" t="s">
        <v>24</v>
      </c>
      <c r="C13" t="str">
        <f t="shared" si="0"/>
        <v>kennelStatus: jsonItem['kennelStatus'],</v>
      </c>
      <c r="D13" t="str">
        <f t="shared" si="1"/>
        <v>KennelStatus</v>
      </c>
      <c r="E13" t="str">
        <f t="shared" si="2"/>
        <v>colKennelStatus</v>
      </c>
      <c r="F13" t="str">
        <f t="shared" si="3"/>
        <v>static const String colKennelStatus= 'kennelStatus';</v>
      </c>
      <c r="G13" t="str">
        <f t="shared" si="4"/>
        <v>$colKennelStatus INT,</v>
      </c>
      <c r="H13" t="str">
        <f t="shared" si="5"/>
        <v>KennelsTableHelper.colKennelStatus: item.kennelStatus,</v>
      </c>
      <c r="I13" t="str">
        <f t="shared" si="6"/>
        <v>kennelStatus: map[KennelsTableHelper.colKennelStatus],</v>
      </c>
    </row>
    <row r="14" spans="1:9" x14ac:dyDescent="0.2">
      <c r="A14" t="s">
        <v>13</v>
      </c>
      <c r="B14" t="s">
        <v>24</v>
      </c>
      <c r="C14" t="str">
        <f t="shared" si="0"/>
        <v>allowNegativeCredit: jsonItem['allowNegativeCredit'],</v>
      </c>
      <c r="D14" t="str">
        <f t="shared" si="1"/>
        <v>AllowNegativeCredit</v>
      </c>
      <c r="E14" t="str">
        <f t="shared" si="2"/>
        <v>colAllowNegativeCredit</v>
      </c>
      <c r="F14" t="str">
        <f t="shared" si="3"/>
        <v>static const String colAllowNegativeCredit= 'allowNegativeCredit';</v>
      </c>
      <c r="G14" t="str">
        <f t="shared" si="4"/>
        <v>$colAllowNegativeCredit INT,</v>
      </c>
      <c r="H14" t="str">
        <f t="shared" si="5"/>
        <v>KennelsTableHelper.colAllowNegativeCredit: item.allowNegativeCredit,</v>
      </c>
      <c r="I14" t="str">
        <f t="shared" si="6"/>
        <v>allowNegativeCredit: map[KennelsTableHelper.colAllowNegativeCredit],</v>
      </c>
    </row>
    <row r="15" spans="1:9" x14ac:dyDescent="0.2">
      <c r="A15" t="s">
        <v>14</v>
      </c>
      <c r="B15" t="s">
        <v>25</v>
      </c>
      <c r="C15" t="str">
        <f t="shared" si="0"/>
        <v>latitude: jsonItem['latitude'],</v>
      </c>
      <c r="D15" t="str">
        <f t="shared" si="1"/>
        <v>Latitude</v>
      </c>
      <c r="E15" t="str">
        <f t="shared" si="2"/>
        <v>colLatitude</v>
      </c>
      <c r="F15" t="str">
        <f t="shared" si="3"/>
        <v>static const String colLatitude= 'latitude';</v>
      </c>
      <c r="G15" t="str">
        <f t="shared" si="4"/>
        <v>$colLatitude NUM,</v>
      </c>
      <c r="H15" t="str">
        <f t="shared" si="5"/>
        <v>KennelsTableHelper.colLatitude: item.latitude,</v>
      </c>
      <c r="I15" t="str">
        <f t="shared" si="6"/>
        <v>latitude: map[KennelsTableHelper.colLatitude],</v>
      </c>
    </row>
    <row r="16" spans="1:9" x14ac:dyDescent="0.2">
      <c r="A16" t="s">
        <v>15</v>
      </c>
      <c r="B16" t="s">
        <v>25</v>
      </c>
      <c r="C16" t="str">
        <f t="shared" si="0"/>
        <v>longitude: jsonItem['longitude'],</v>
      </c>
      <c r="D16" t="str">
        <f t="shared" si="1"/>
        <v>Longitude</v>
      </c>
      <c r="E16" t="str">
        <f t="shared" si="2"/>
        <v>colLongitude</v>
      </c>
      <c r="F16" t="str">
        <f t="shared" si="3"/>
        <v>static const String colLongitude= 'longitude';</v>
      </c>
      <c r="G16" t="str">
        <f t="shared" si="4"/>
        <v>$colLongitude NUM,</v>
      </c>
      <c r="H16" t="str">
        <f t="shared" si="5"/>
        <v>KennelsTableHelper.colLongitude: item.longitude,</v>
      </c>
      <c r="I16" t="str">
        <f t="shared" si="6"/>
        <v>longitude: map[KennelsTableHelper.colLongitude],</v>
      </c>
    </row>
    <row r="17" spans="1:9" x14ac:dyDescent="0.2">
      <c r="A17" t="s">
        <v>16</v>
      </c>
      <c r="B17" t="s">
        <v>25</v>
      </c>
      <c r="C17" t="str">
        <f t="shared" si="0"/>
        <v>defaultPriceForMembers: jsonItem['defaultPriceForMembers'],</v>
      </c>
      <c r="D17" t="str">
        <f t="shared" si="1"/>
        <v>DefaultPriceForMembers</v>
      </c>
      <c r="E17" t="str">
        <f t="shared" si="2"/>
        <v>colDefaultPriceForMembers</v>
      </c>
      <c r="F17" t="str">
        <f t="shared" si="3"/>
        <v>static const String colDefaultPriceForMembers= 'defaultPriceForMembers';</v>
      </c>
      <c r="G17" t="str">
        <f t="shared" si="4"/>
        <v>$colDefaultPriceForMembers NUM,</v>
      </c>
      <c r="H17" t="str">
        <f t="shared" si="5"/>
        <v>KennelsTableHelper.colDefaultPriceForMembers: item.defaultPriceForMembers,</v>
      </c>
      <c r="I17" t="str">
        <f t="shared" si="6"/>
        <v>defaultPriceForMembers: map[KennelsTableHelper.colDefaultPriceForMembers],</v>
      </c>
    </row>
    <row r="18" spans="1:9" x14ac:dyDescent="0.2">
      <c r="A18" t="s">
        <v>17</v>
      </c>
      <c r="B18" t="s">
        <v>25</v>
      </c>
      <c r="C18" t="str">
        <f t="shared" si="0"/>
        <v>defaultPriceForNonMembers: jsonItem['defaultPriceForNonMembers'],</v>
      </c>
      <c r="D18" t="str">
        <f t="shared" si="1"/>
        <v>DefaultPriceForNonMembers</v>
      </c>
      <c r="E18" t="str">
        <f t="shared" si="2"/>
        <v>colDefaultPriceForNonMembers</v>
      </c>
      <c r="F18" t="str">
        <f t="shared" si="3"/>
        <v>static const String colDefaultPriceForNonMembers= 'defaultPriceForNonMembers';</v>
      </c>
      <c r="G18" t="str">
        <f t="shared" si="4"/>
        <v>$colDefaultPriceForNonMembers NUM,</v>
      </c>
      <c r="H18" t="str">
        <f t="shared" si="5"/>
        <v>KennelsTableHelper.colDefaultPriceForNonMembers: item.defaultPriceForNonMembers,</v>
      </c>
      <c r="I18" t="str">
        <f t="shared" si="6"/>
        <v>defaultPriceForNonMembers: map[KennelsTableHelper.colDefaultPriceForNonMembers],</v>
      </c>
    </row>
    <row r="19" spans="1:9" x14ac:dyDescent="0.2">
      <c r="A19" t="s">
        <v>18</v>
      </c>
      <c r="B19" t="s">
        <v>23</v>
      </c>
      <c r="C19" t="str">
        <f t="shared" si="0"/>
        <v>defaultRunStartTime: jsonItem['defaultRunStartTime'],</v>
      </c>
      <c r="D19" t="str">
        <f t="shared" si="1"/>
        <v>DefaultRunStartTime</v>
      </c>
      <c r="E19" t="str">
        <f t="shared" si="2"/>
        <v>colDefaultRunStartTime</v>
      </c>
      <c r="F19" t="str">
        <f t="shared" si="3"/>
        <v>static const String colDefaultRunStartTime= 'defaultRunStartTime';</v>
      </c>
      <c r="G19" t="str">
        <f t="shared" si="4"/>
        <v>$colDefaultRunStartTime TEXT,</v>
      </c>
      <c r="H19" t="str">
        <f t="shared" si="5"/>
        <v>KennelsTableHelper.colDefaultRunStartTime: item.defaultRunStartTime,</v>
      </c>
      <c r="I19" t="str">
        <f t="shared" si="6"/>
        <v>defaultRunStartTime: map[KennelsTableHelper.colDefaultRunStartTime],</v>
      </c>
    </row>
    <row r="20" spans="1:9" x14ac:dyDescent="0.2">
      <c r="A20" t="s">
        <v>19</v>
      </c>
      <c r="B20" t="s">
        <v>23</v>
      </c>
      <c r="C20" t="str">
        <f t="shared" si="0"/>
        <v>updatedAt: jsonItem['updatedAt'],</v>
      </c>
      <c r="D20" t="str">
        <f t="shared" si="1"/>
        <v>UpdatedAt</v>
      </c>
      <c r="E20" t="str">
        <f t="shared" si="2"/>
        <v>colUpdatedAt</v>
      </c>
      <c r="F20" t="str">
        <f t="shared" si="3"/>
        <v>static const String colUpdatedAt= 'updatedAt';</v>
      </c>
      <c r="G20" t="str">
        <f t="shared" si="4"/>
        <v>$colUpdatedAt TEXT,</v>
      </c>
      <c r="H20" t="str">
        <f t="shared" si="5"/>
        <v>KennelsTableHelper.colUpdatedAt: item.updatedAt,</v>
      </c>
      <c r="I20" t="str">
        <f t="shared" si="6"/>
        <v>updatedAt: map[KennelsTableHelper.colUpdatedAt],</v>
      </c>
    </row>
    <row r="21" spans="1:9" x14ac:dyDescent="0.2">
      <c r="A21" t="s">
        <v>0</v>
      </c>
      <c r="B21" t="s">
        <v>24</v>
      </c>
      <c r="C21" t="str">
        <f t="shared" si="0"/>
        <v>removed: jsonItem['removed'],</v>
      </c>
      <c r="D21" t="str">
        <f t="shared" si="1"/>
        <v>Removed</v>
      </c>
      <c r="E21" t="str">
        <f t="shared" si="2"/>
        <v>colRemoved</v>
      </c>
      <c r="F21" t="str">
        <f t="shared" si="3"/>
        <v>static const String colRemoved= 'removed';</v>
      </c>
      <c r="G21" t="str">
        <f t="shared" si="4"/>
        <v>$colRemoved INT,</v>
      </c>
      <c r="H21" t="str">
        <f t="shared" si="5"/>
        <v>KennelsTableHelper.colRemoved: item.removed,</v>
      </c>
      <c r="I21" t="str">
        <f t="shared" si="6"/>
        <v>removed: map[KennelsTableHelper.colRemoved],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2019-04-21T14:42:26Z</dcterms:created>
  <dcterms:modified xsi:type="dcterms:W3CDTF">2019-04-21T15:10:11Z</dcterms:modified>
</cp:coreProperties>
</file>